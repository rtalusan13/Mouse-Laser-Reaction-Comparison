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Research\SoundLocalizationGUI\SoLoGUI\"/>
    </mc:Choice>
  </mc:AlternateContent>
  <xr:revisionPtr revIDLastSave="0" documentId="13_ncr:1_{3D44E093-2636-4659-B51C-A34D4C09D3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Results" sheetId="1" r:id="rId1"/>
    <sheet name="AnglePowerMatching" sheetId="2" r:id="rId2"/>
    <sheet name="dup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6" i="4" l="1"/>
  <c r="S246" i="4" s="1"/>
  <c r="Q246" i="4"/>
  <c r="R245" i="4"/>
  <c r="S245" i="4" s="1"/>
  <c r="Q245" i="4"/>
  <c r="R244" i="4"/>
  <c r="S244" i="4" s="1"/>
  <c r="Q244" i="4"/>
  <c r="R243" i="4"/>
  <c r="S243" i="4" s="1"/>
  <c r="Q243" i="4"/>
  <c r="R242" i="4"/>
  <c r="S242" i="4" s="1"/>
  <c r="Q242" i="4"/>
  <c r="R241" i="4"/>
  <c r="S241" i="4" s="1"/>
  <c r="Q241" i="4"/>
  <c r="S240" i="4"/>
  <c r="R240" i="4"/>
  <c r="Q240" i="4"/>
  <c r="R239" i="4"/>
  <c r="S239" i="4" s="1"/>
  <c r="Q239" i="4"/>
  <c r="S238" i="4"/>
  <c r="R238" i="4"/>
  <c r="Q238" i="4"/>
  <c r="R237" i="4"/>
  <c r="S237" i="4" s="1"/>
  <c r="Q237" i="4"/>
  <c r="S236" i="4"/>
  <c r="R236" i="4"/>
  <c r="Q236" i="4"/>
  <c r="R235" i="4"/>
  <c r="S235" i="4" s="1"/>
  <c r="Q235" i="4"/>
  <c r="R234" i="4"/>
  <c r="S234" i="4" s="1"/>
  <c r="Q234" i="4"/>
  <c r="R233" i="4"/>
  <c r="S233" i="4" s="1"/>
  <c r="Q233" i="4"/>
  <c r="S232" i="4"/>
  <c r="R232" i="4"/>
  <c r="Q232" i="4"/>
  <c r="R231" i="4"/>
  <c r="S231" i="4" s="1"/>
  <c r="Q231" i="4"/>
  <c r="S230" i="4"/>
  <c r="R230" i="4"/>
  <c r="Q230" i="4"/>
  <c r="S229" i="4"/>
  <c r="R229" i="4"/>
  <c r="Q229" i="4"/>
  <c r="S228" i="4"/>
  <c r="R228" i="4"/>
  <c r="Q228" i="4"/>
  <c r="R227" i="4"/>
  <c r="S227" i="4" s="1"/>
  <c r="Q227" i="4"/>
  <c r="R226" i="4"/>
  <c r="S226" i="4" s="1"/>
  <c r="Q226" i="4"/>
  <c r="R225" i="4"/>
  <c r="S225" i="4" s="1"/>
  <c r="Q225" i="4"/>
  <c r="S224" i="4"/>
  <c r="R224" i="4"/>
  <c r="Q224" i="4"/>
  <c r="R223" i="4"/>
  <c r="S223" i="4" s="1"/>
  <c r="Q223" i="4"/>
  <c r="S222" i="4"/>
  <c r="R222" i="4"/>
  <c r="Q222" i="4"/>
  <c r="R221" i="4"/>
  <c r="S221" i="4" s="1"/>
  <c r="Q221" i="4"/>
  <c r="S220" i="4"/>
  <c r="R220" i="4"/>
  <c r="Q220" i="4"/>
  <c r="R219" i="4"/>
  <c r="S219" i="4" s="1"/>
  <c r="Q219" i="4"/>
  <c r="R218" i="4"/>
  <c r="S218" i="4" s="1"/>
  <c r="Q218" i="4"/>
  <c r="R217" i="4"/>
  <c r="S217" i="4" s="1"/>
  <c r="Q217" i="4"/>
  <c r="S216" i="4"/>
  <c r="R216" i="4"/>
  <c r="Q216" i="4"/>
  <c r="R215" i="4"/>
  <c r="S215" i="4" s="1"/>
  <c r="Q215" i="4"/>
  <c r="S214" i="4"/>
  <c r="R214" i="4"/>
  <c r="Q214" i="4"/>
  <c r="S213" i="4"/>
  <c r="R213" i="4"/>
  <c r="Q213" i="4"/>
  <c r="S212" i="4"/>
  <c r="R212" i="4"/>
  <c r="Q212" i="4"/>
  <c r="R211" i="4"/>
  <c r="S211" i="4" s="1"/>
  <c r="Q211" i="4"/>
  <c r="R210" i="4"/>
  <c r="S210" i="4" s="1"/>
  <c r="Q210" i="4"/>
  <c r="R209" i="4"/>
  <c r="S209" i="4" s="1"/>
  <c r="Q209" i="4"/>
  <c r="S208" i="4"/>
  <c r="R208" i="4"/>
  <c r="Q208" i="4"/>
  <c r="R207" i="4"/>
  <c r="S207" i="4" s="1"/>
  <c r="Q207" i="4"/>
  <c r="S206" i="4"/>
  <c r="R206" i="4"/>
  <c r="Q206" i="4"/>
  <c r="R205" i="4"/>
  <c r="S205" i="4" s="1"/>
  <c r="Q205" i="4"/>
  <c r="S204" i="4"/>
  <c r="R204" i="4"/>
  <c r="Q204" i="4"/>
  <c r="R203" i="4"/>
  <c r="S203" i="4" s="1"/>
  <c r="Q203" i="4"/>
  <c r="R202" i="4"/>
  <c r="S202" i="4" s="1"/>
  <c r="Q202" i="4"/>
  <c r="R201" i="4"/>
  <c r="S201" i="4" s="1"/>
  <c r="Q201" i="4"/>
  <c r="S200" i="4"/>
  <c r="R200" i="4"/>
  <c r="Q200" i="4"/>
  <c r="R199" i="4"/>
  <c r="S199" i="4" s="1"/>
  <c r="Q199" i="4"/>
  <c r="S198" i="4"/>
  <c r="R198" i="4"/>
  <c r="Q198" i="4"/>
  <c r="S197" i="4"/>
  <c r="R197" i="4"/>
  <c r="Q197" i="4"/>
  <c r="S196" i="4"/>
  <c r="R196" i="4"/>
  <c r="Q196" i="4"/>
  <c r="R195" i="4"/>
  <c r="S195" i="4" s="1"/>
  <c r="Q195" i="4"/>
  <c r="R194" i="4"/>
  <c r="S194" i="4" s="1"/>
  <c r="Q194" i="4"/>
  <c r="R193" i="4"/>
  <c r="S193" i="4" s="1"/>
  <c r="Q193" i="4"/>
  <c r="S192" i="4"/>
  <c r="R192" i="4"/>
  <c r="Q192" i="4"/>
  <c r="R191" i="4"/>
  <c r="S191" i="4" s="1"/>
  <c r="Q191" i="4"/>
  <c r="S190" i="4"/>
  <c r="R190" i="4"/>
  <c r="Q190" i="4"/>
  <c r="S189" i="4"/>
  <c r="R189" i="4"/>
  <c r="Q189" i="4"/>
  <c r="S188" i="4"/>
  <c r="R188" i="4"/>
  <c r="Q188" i="4"/>
  <c r="R187" i="4"/>
  <c r="S187" i="4" s="1"/>
  <c r="Q187" i="4"/>
  <c r="S186" i="4"/>
  <c r="R186" i="4"/>
  <c r="Q186" i="4"/>
  <c r="R185" i="4"/>
  <c r="S185" i="4" s="1"/>
  <c r="Q185" i="4"/>
  <c r="S184" i="4"/>
  <c r="R184" i="4"/>
  <c r="Q184" i="4"/>
  <c r="R183" i="4"/>
  <c r="S183" i="4" s="1"/>
  <c r="Q183" i="4"/>
  <c r="S182" i="4"/>
  <c r="R182" i="4"/>
  <c r="Q182" i="4"/>
  <c r="S181" i="4"/>
  <c r="R181" i="4"/>
  <c r="Q181" i="4"/>
  <c r="S180" i="4"/>
  <c r="R180" i="4"/>
  <c r="Q180" i="4"/>
  <c r="R179" i="4"/>
  <c r="S179" i="4" s="1"/>
  <c r="Q179" i="4"/>
  <c r="R178" i="4"/>
  <c r="S178" i="4" s="1"/>
  <c r="Q178" i="4"/>
  <c r="R177" i="4"/>
  <c r="S177" i="4" s="1"/>
  <c r="Q177" i="4"/>
  <c r="S176" i="4"/>
  <c r="R176" i="4"/>
  <c r="Q176" i="4"/>
  <c r="R175" i="4"/>
  <c r="S175" i="4" s="1"/>
  <c r="Q175" i="4"/>
  <c r="S174" i="4"/>
  <c r="R174" i="4"/>
  <c r="Q174" i="4"/>
  <c r="R173" i="4"/>
  <c r="S173" i="4" s="1"/>
  <c r="Q173" i="4"/>
  <c r="S172" i="4"/>
  <c r="R172" i="4"/>
  <c r="Q172" i="4"/>
  <c r="R171" i="4"/>
  <c r="S171" i="4" s="1"/>
  <c r="Q171" i="4"/>
  <c r="R170" i="4"/>
  <c r="S170" i="4" s="1"/>
  <c r="Q170" i="4"/>
  <c r="R169" i="4"/>
  <c r="S169" i="4" s="1"/>
  <c r="Q169" i="4"/>
  <c r="S168" i="4"/>
  <c r="R168" i="4"/>
  <c r="Q168" i="4"/>
  <c r="R167" i="4"/>
  <c r="S167" i="4" s="1"/>
  <c r="Q167" i="4"/>
  <c r="S166" i="4"/>
  <c r="R166" i="4"/>
  <c r="Q166" i="4"/>
  <c r="R165" i="4"/>
  <c r="S165" i="4" s="1"/>
  <c r="Q165" i="4"/>
  <c r="S164" i="4"/>
  <c r="R164" i="4"/>
  <c r="Q164" i="4"/>
  <c r="R163" i="4"/>
  <c r="S163" i="4" s="1"/>
  <c r="Q163" i="4"/>
  <c r="S162" i="4"/>
  <c r="R162" i="4"/>
  <c r="Q162" i="4"/>
  <c r="R161" i="4"/>
  <c r="S161" i="4" s="1"/>
  <c r="Q161" i="4"/>
  <c r="S160" i="4"/>
  <c r="R160" i="4"/>
  <c r="Q160" i="4"/>
  <c r="R159" i="4"/>
  <c r="S159" i="4" s="1"/>
  <c r="Q159" i="4"/>
  <c r="S158" i="4"/>
  <c r="R158" i="4"/>
  <c r="Q158" i="4"/>
  <c r="S157" i="4"/>
  <c r="R157" i="4"/>
  <c r="Q157" i="4"/>
  <c r="S156" i="4"/>
  <c r="R156" i="4"/>
  <c r="Q156" i="4"/>
  <c r="R155" i="4"/>
  <c r="S155" i="4" s="1"/>
  <c r="Q155" i="4"/>
  <c r="S154" i="4"/>
  <c r="R154" i="4"/>
  <c r="Q154" i="4"/>
  <c r="R153" i="4"/>
  <c r="S153" i="4" s="1"/>
  <c r="Q153" i="4"/>
  <c r="R152" i="4"/>
  <c r="S152" i="4" s="1"/>
  <c r="Q152" i="4"/>
  <c r="R151" i="4"/>
  <c r="S151" i="4" s="1"/>
  <c r="Q151" i="4"/>
  <c r="S150" i="4"/>
  <c r="R150" i="4"/>
  <c r="Q150" i="4"/>
  <c r="R149" i="4"/>
  <c r="S149" i="4" s="1"/>
  <c r="Q149" i="4"/>
  <c r="S148" i="4"/>
  <c r="R148" i="4"/>
  <c r="Q148" i="4"/>
  <c r="R147" i="4"/>
  <c r="S147" i="4" s="1"/>
  <c r="Q147" i="4"/>
  <c r="R146" i="4"/>
  <c r="S146" i="4" s="1"/>
  <c r="Q146" i="4"/>
  <c r="R145" i="4"/>
  <c r="S145" i="4" s="1"/>
  <c r="Q145" i="4"/>
  <c r="S144" i="4"/>
  <c r="R144" i="4"/>
  <c r="Q144" i="4"/>
  <c r="R143" i="4"/>
  <c r="S143" i="4" s="1"/>
  <c r="Q143" i="4"/>
  <c r="S142" i="4"/>
  <c r="R142" i="4"/>
  <c r="Q142" i="4"/>
  <c r="S141" i="4"/>
  <c r="R141" i="4"/>
  <c r="Q141" i="4"/>
  <c r="S140" i="4"/>
  <c r="R140" i="4"/>
  <c r="Q140" i="4"/>
  <c r="S139" i="4"/>
  <c r="R139" i="4"/>
  <c r="Q139" i="4"/>
  <c r="R138" i="4"/>
  <c r="S138" i="4" s="1"/>
  <c r="Q138" i="4"/>
  <c r="R137" i="4"/>
  <c r="S137" i="4" s="1"/>
  <c r="Q137" i="4"/>
  <c r="R136" i="4"/>
  <c r="S136" i="4" s="1"/>
  <c r="Q136" i="4"/>
  <c r="R135" i="4"/>
  <c r="S135" i="4" s="1"/>
  <c r="Q135" i="4"/>
  <c r="S134" i="4"/>
  <c r="R134" i="4"/>
  <c r="Q134" i="4"/>
  <c r="S133" i="4"/>
  <c r="R133" i="4"/>
  <c r="Q133" i="4"/>
  <c r="S132" i="4"/>
  <c r="R132" i="4"/>
  <c r="Q132" i="4"/>
  <c r="R131" i="4"/>
  <c r="S131" i="4" s="1"/>
  <c r="Q131" i="4"/>
  <c r="R130" i="4"/>
  <c r="S130" i="4" s="1"/>
  <c r="Q130" i="4"/>
  <c r="R129" i="4"/>
  <c r="S129" i="4" s="1"/>
  <c r="Q129" i="4"/>
  <c r="S128" i="4"/>
  <c r="R128" i="4"/>
  <c r="Q128" i="4"/>
  <c r="R127" i="4"/>
  <c r="S127" i="4" s="1"/>
  <c r="Q127" i="4"/>
  <c r="S126" i="4"/>
  <c r="R126" i="4"/>
  <c r="Q126" i="4"/>
  <c r="S125" i="4"/>
  <c r="R125" i="4"/>
  <c r="Q125" i="4"/>
  <c r="S124" i="4"/>
  <c r="R124" i="4"/>
  <c r="Q124" i="4"/>
  <c r="R123" i="4"/>
  <c r="S123" i="4" s="1"/>
  <c r="Q123" i="4"/>
  <c r="S122" i="4"/>
  <c r="R122" i="4"/>
  <c r="Q122" i="4"/>
  <c r="R121" i="4"/>
  <c r="S121" i="4" s="1"/>
  <c r="Q121" i="4"/>
  <c r="S120" i="4"/>
  <c r="R120" i="4"/>
  <c r="Q120" i="4"/>
  <c r="R119" i="4"/>
  <c r="S119" i="4" s="1"/>
  <c r="Q119" i="4"/>
  <c r="S118" i="4"/>
  <c r="R118" i="4"/>
  <c r="Q118" i="4"/>
  <c r="R117" i="4"/>
  <c r="S117" i="4" s="1"/>
  <c r="Q117" i="4"/>
  <c r="S116" i="4"/>
  <c r="R116" i="4"/>
  <c r="Q116" i="4"/>
  <c r="R115" i="4"/>
  <c r="S115" i="4" s="1"/>
  <c r="Q115" i="4"/>
  <c r="R114" i="4"/>
  <c r="S114" i="4" s="1"/>
  <c r="Q114" i="4"/>
  <c r="R113" i="4"/>
  <c r="S113" i="4" s="1"/>
  <c r="Q113" i="4"/>
  <c r="S112" i="4"/>
  <c r="R112" i="4"/>
  <c r="Q112" i="4"/>
  <c r="R111" i="4"/>
  <c r="S111" i="4" s="1"/>
  <c r="Q111" i="4"/>
  <c r="S110" i="4"/>
  <c r="R110" i="4"/>
  <c r="Q110" i="4"/>
  <c r="S109" i="4"/>
  <c r="R109" i="4"/>
  <c r="Q109" i="4"/>
  <c r="S108" i="4"/>
  <c r="R108" i="4"/>
  <c r="Q108" i="4"/>
  <c r="S107" i="4"/>
  <c r="R107" i="4"/>
  <c r="Q107" i="4"/>
  <c r="R106" i="4"/>
  <c r="S106" i="4" s="1"/>
  <c r="Q106" i="4"/>
  <c r="R105" i="4"/>
  <c r="S105" i="4" s="1"/>
  <c r="Q105" i="4"/>
  <c r="R104" i="4"/>
  <c r="S104" i="4" s="1"/>
  <c r="Q104" i="4"/>
  <c r="R103" i="4"/>
  <c r="S103" i="4" s="1"/>
  <c r="Q103" i="4"/>
  <c r="S102" i="4"/>
  <c r="R102" i="4"/>
  <c r="Q102" i="4"/>
  <c r="S101" i="4"/>
  <c r="R101" i="4"/>
  <c r="Q101" i="4"/>
  <c r="S100" i="4"/>
  <c r="R100" i="4"/>
  <c r="Q100" i="4"/>
  <c r="R99" i="4"/>
  <c r="S99" i="4" s="1"/>
  <c r="Q99" i="4"/>
  <c r="R98" i="4"/>
  <c r="S98" i="4" s="1"/>
  <c r="Q98" i="4"/>
  <c r="R97" i="4"/>
  <c r="S97" i="4" s="1"/>
  <c r="Q97" i="4"/>
  <c r="S96" i="4"/>
  <c r="R96" i="4"/>
  <c r="Q96" i="4"/>
  <c r="R95" i="4"/>
  <c r="S95" i="4" s="1"/>
  <c r="Q95" i="4"/>
  <c r="S94" i="4"/>
  <c r="R94" i="4"/>
  <c r="Q94" i="4"/>
  <c r="S93" i="4"/>
  <c r="R93" i="4"/>
  <c r="Q93" i="4"/>
  <c r="S92" i="4"/>
  <c r="R92" i="4"/>
  <c r="Q92" i="4"/>
  <c r="R91" i="4"/>
  <c r="S91" i="4" s="1"/>
  <c r="Q91" i="4"/>
  <c r="S90" i="4"/>
  <c r="R90" i="4"/>
  <c r="Q90" i="4"/>
  <c r="R89" i="4"/>
  <c r="S89" i="4" s="1"/>
  <c r="Q89" i="4"/>
  <c r="R88" i="4"/>
  <c r="S88" i="4" s="1"/>
  <c r="Q88" i="4"/>
  <c r="R87" i="4"/>
  <c r="S87" i="4" s="1"/>
  <c r="Q87" i="4"/>
  <c r="S86" i="4"/>
  <c r="R86" i="4"/>
  <c r="Q86" i="4"/>
  <c r="S85" i="4"/>
  <c r="R85" i="4"/>
  <c r="Q85" i="4"/>
  <c r="R84" i="4"/>
  <c r="S84" i="4" s="1"/>
  <c r="Q84" i="4"/>
  <c r="S83" i="4"/>
  <c r="R83" i="4"/>
  <c r="Q83" i="4"/>
  <c r="R82" i="4"/>
  <c r="S82" i="4" s="1"/>
  <c r="Q82" i="4"/>
  <c r="R81" i="4"/>
  <c r="S81" i="4" s="1"/>
  <c r="Q81" i="4"/>
  <c r="S80" i="4"/>
  <c r="R80" i="4"/>
  <c r="Q80" i="4"/>
  <c r="S79" i="4"/>
  <c r="R79" i="4"/>
  <c r="Q79" i="4"/>
  <c r="S78" i="4"/>
  <c r="R78" i="4"/>
  <c r="Q78" i="4"/>
  <c r="S77" i="4"/>
  <c r="R77" i="4"/>
  <c r="Q77" i="4"/>
  <c r="S76" i="4"/>
  <c r="R76" i="4"/>
  <c r="Q76" i="4"/>
  <c r="R75" i="4"/>
  <c r="S75" i="4" s="1"/>
  <c r="Q75" i="4"/>
  <c r="S74" i="4"/>
  <c r="R74" i="4"/>
  <c r="Q74" i="4"/>
  <c r="R73" i="4"/>
  <c r="S73" i="4" s="1"/>
  <c r="Q73" i="4"/>
  <c r="R72" i="4"/>
  <c r="S72" i="4" s="1"/>
  <c r="Q72" i="4"/>
  <c r="S71" i="4"/>
  <c r="R71" i="4"/>
  <c r="Q71" i="4"/>
  <c r="S70" i="4"/>
  <c r="R70" i="4"/>
  <c r="Q70" i="4"/>
  <c r="R69" i="4"/>
  <c r="S69" i="4" s="1"/>
  <c r="Q69" i="4"/>
  <c r="R68" i="4"/>
  <c r="S68" i="4" s="1"/>
  <c r="Q68" i="4"/>
  <c r="S67" i="4"/>
  <c r="R67" i="4"/>
  <c r="Q67" i="4"/>
  <c r="S66" i="4"/>
  <c r="R66" i="4"/>
  <c r="Q66" i="4"/>
  <c r="R65" i="4"/>
  <c r="S65" i="4" s="1"/>
  <c r="Q65" i="4"/>
  <c r="S64" i="4"/>
  <c r="R64" i="4"/>
  <c r="Q64" i="4"/>
  <c r="S63" i="4"/>
  <c r="R63" i="4"/>
  <c r="Q63" i="4"/>
  <c r="S62" i="4"/>
  <c r="R62" i="4"/>
  <c r="Q62" i="4"/>
  <c r="S61" i="4"/>
  <c r="R61" i="4"/>
  <c r="Q61" i="4"/>
  <c r="S60" i="4"/>
  <c r="R60" i="4"/>
  <c r="Q60" i="4"/>
  <c r="S59" i="4"/>
  <c r="R59" i="4"/>
  <c r="Q59" i="4"/>
  <c r="S58" i="4"/>
  <c r="R58" i="4"/>
  <c r="Q58" i="4"/>
  <c r="R57" i="4"/>
  <c r="S57" i="4" s="1"/>
  <c r="Q57" i="4"/>
  <c r="R56" i="4"/>
  <c r="S56" i="4" s="1"/>
  <c r="Q56" i="4"/>
  <c r="R55" i="4"/>
  <c r="S55" i="4" s="1"/>
  <c r="Q55" i="4"/>
  <c r="S54" i="4"/>
  <c r="R54" i="4"/>
  <c r="Q54" i="4"/>
  <c r="R53" i="4"/>
  <c r="S53" i="4" s="1"/>
  <c r="Q53" i="4"/>
  <c r="S52" i="4"/>
  <c r="R52" i="4"/>
  <c r="Q52" i="4"/>
  <c r="S51" i="4"/>
  <c r="R51" i="4"/>
  <c r="Q51" i="4"/>
  <c r="R50" i="4"/>
  <c r="S50" i="4" s="1"/>
  <c r="Q50" i="4"/>
  <c r="R49" i="4"/>
  <c r="S49" i="4" s="1"/>
  <c r="Q49" i="4"/>
  <c r="S48" i="4"/>
  <c r="R48" i="4"/>
  <c r="Q48" i="4"/>
  <c r="S47" i="4"/>
  <c r="R47" i="4"/>
  <c r="Q47" i="4"/>
  <c r="S46" i="4"/>
  <c r="R46" i="4"/>
  <c r="Q46" i="4"/>
  <c r="S45" i="4"/>
  <c r="R45" i="4"/>
  <c r="Q45" i="4"/>
  <c r="S44" i="4"/>
  <c r="R44" i="4"/>
  <c r="Q44" i="4"/>
  <c r="R43" i="4"/>
  <c r="S43" i="4" s="1"/>
  <c r="Q43" i="4"/>
  <c r="S42" i="4"/>
  <c r="R42" i="4"/>
  <c r="Q42" i="4"/>
  <c r="R41" i="4"/>
  <c r="S41" i="4" s="1"/>
  <c r="Q41" i="4"/>
  <c r="S40" i="4"/>
  <c r="R40" i="4"/>
  <c r="Q40" i="4"/>
  <c r="R39" i="4"/>
  <c r="S39" i="4" s="1"/>
  <c r="Q39" i="4"/>
  <c r="S38" i="4"/>
  <c r="R38" i="4"/>
  <c r="Q38" i="4"/>
  <c r="S37" i="4"/>
  <c r="R37" i="4"/>
  <c r="Q37" i="4"/>
  <c r="R36" i="4"/>
  <c r="S36" i="4" s="1"/>
  <c r="Q36" i="4"/>
  <c r="S35" i="4"/>
  <c r="R35" i="4"/>
  <c r="Q35" i="4"/>
  <c r="R34" i="4"/>
  <c r="S34" i="4" s="1"/>
  <c r="Q34" i="4"/>
  <c r="R33" i="4"/>
  <c r="S33" i="4" s="1"/>
  <c r="Q33" i="4"/>
  <c r="S32" i="4"/>
  <c r="R32" i="4"/>
  <c r="Q32" i="4"/>
  <c r="S31" i="4"/>
  <c r="R31" i="4"/>
  <c r="Q31" i="4"/>
  <c r="S30" i="4"/>
  <c r="R30" i="4"/>
  <c r="Q30" i="4"/>
  <c r="S29" i="4"/>
  <c r="R29" i="4"/>
  <c r="Q29" i="4"/>
  <c r="R28" i="4"/>
  <c r="S28" i="4" s="1"/>
  <c r="Q28" i="4"/>
  <c r="R27" i="4"/>
  <c r="S27" i="4" s="1"/>
  <c r="Q27" i="4"/>
  <c r="S26" i="4"/>
  <c r="R26" i="4"/>
  <c r="Q26" i="4"/>
  <c r="R25" i="4"/>
  <c r="S25" i="4" s="1"/>
  <c r="Q25" i="4"/>
  <c r="R24" i="4"/>
  <c r="S24" i="4" s="1"/>
  <c r="Q24" i="4"/>
  <c r="S23" i="4"/>
  <c r="R23" i="4"/>
  <c r="Q23" i="4"/>
  <c r="S22" i="4"/>
  <c r="R22" i="4"/>
  <c r="Q22" i="4"/>
  <c r="S21" i="4"/>
  <c r="R21" i="4"/>
  <c r="Q21" i="4"/>
  <c r="R20" i="4"/>
  <c r="S20" i="4" s="1"/>
  <c r="Q20" i="4"/>
  <c r="S19" i="4"/>
  <c r="R19" i="4"/>
  <c r="Q19" i="4"/>
  <c r="S18" i="4"/>
  <c r="R18" i="4"/>
  <c r="Q18" i="4"/>
  <c r="S17" i="4"/>
  <c r="R17" i="4"/>
  <c r="Q17" i="4"/>
  <c r="S16" i="4"/>
  <c r="R16" i="4"/>
  <c r="Q16" i="4"/>
  <c r="S15" i="4"/>
  <c r="R15" i="4"/>
  <c r="Q15" i="4"/>
  <c r="R14" i="4"/>
  <c r="S14" i="4" s="1"/>
  <c r="Q14" i="4"/>
  <c r="S13" i="4"/>
  <c r="R13" i="4"/>
  <c r="Q13" i="4"/>
  <c r="R12" i="4"/>
  <c r="S12" i="4" s="1"/>
  <c r="Q12" i="4"/>
  <c r="S11" i="4"/>
  <c r="R11" i="4"/>
  <c r="Q11" i="4"/>
  <c r="S10" i="4"/>
  <c r="R10" i="4"/>
  <c r="Q10" i="4"/>
  <c r="S9" i="4"/>
  <c r="R9" i="4"/>
  <c r="Q9" i="4"/>
  <c r="S8" i="4"/>
  <c r="R8" i="4"/>
  <c r="Q8" i="4"/>
  <c r="S7" i="4"/>
  <c r="R7" i="4"/>
  <c r="Q7" i="4"/>
  <c r="R6" i="4"/>
  <c r="S6" i="4" s="1"/>
  <c r="Q6" i="4"/>
  <c r="S5" i="4"/>
  <c r="R5" i="4"/>
  <c r="Q5" i="4"/>
  <c r="R4" i="4"/>
  <c r="S4" i="4" s="1"/>
  <c r="Q4" i="4"/>
  <c r="S3" i="4"/>
  <c r="R3" i="4"/>
  <c r="Q3" i="4"/>
  <c r="S2" i="4"/>
  <c r="R2" i="4"/>
  <c r="Q2" i="4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P244" i="1" s="1"/>
  <c r="G4" i="2"/>
  <c r="H3" i="2"/>
  <c r="G3" i="2"/>
  <c r="H2" i="2"/>
  <c r="O246" i="1" s="1"/>
  <c r="G2" i="2"/>
  <c r="S247" i="1"/>
  <c r="R247" i="1"/>
  <c r="Q247" i="1"/>
  <c r="R246" i="1"/>
  <c r="S246" i="1" s="1"/>
  <c r="Q246" i="1"/>
  <c r="S245" i="1"/>
  <c r="R245" i="1"/>
  <c r="Q245" i="1"/>
  <c r="R244" i="1"/>
  <c r="S244" i="1" s="1"/>
  <c r="O244" i="1" s="1"/>
  <c r="Q244" i="1"/>
  <c r="S243" i="1"/>
  <c r="R243" i="1"/>
  <c r="Q243" i="1"/>
  <c r="R242" i="1"/>
  <c r="S242" i="1" s="1"/>
  <c r="Q242" i="1"/>
  <c r="R241" i="1"/>
  <c r="S241" i="1" s="1"/>
  <c r="Q241" i="1"/>
  <c r="R240" i="1"/>
  <c r="S240" i="1" s="1"/>
  <c r="Q240" i="1"/>
  <c r="R239" i="1"/>
  <c r="S239" i="1" s="1"/>
  <c r="O239" i="1" s="1"/>
  <c r="Q239" i="1"/>
  <c r="P239" i="1"/>
  <c r="R238" i="1"/>
  <c r="S238" i="1" s="1"/>
  <c r="P238" i="1" s="1"/>
  <c r="Q238" i="1"/>
  <c r="S237" i="1"/>
  <c r="R237" i="1"/>
  <c r="Q237" i="1"/>
  <c r="O237" i="1"/>
  <c r="R236" i="1"/>
  <c r="S236" i="1" s="1"/>
  <c r="Q236" i="1"/>
  <c r="S235" i="1"/>
  <c r="R235" i="1"/>
  <c r="Q235" i="1"/>
  <c r="P235" i="1"/>
  <c r="S234" i="1"/>
  <c r="R234" i="1"/>
  <c r="Q234" i="1"/>
  <c r="R233" i="1"/>
  <c r="S233" i="1" s="1"/>
  <c r="Q233" i="1"/>
  <c r="R232" i="1"/>
  <c r="S232" i="1" s="1"/>
  <c r="P232" i="1" s="1"/>
  <c r="Q232" i="1"/>
  <c r="S231" i="1"/>
  <c r="O231" i="1" s="1"/>
  <c r="R231" i="1"/>
  <c r="Q231" i="1"/>
  <c r="R230" i="1"/>
  <c r="S230" i="1" s="1"/>
  <c r="Q230" i="1"/>
  <c r="S229" i="1"/>
  <c r="O229" i="1" s="1"/>
  <c r="R229" i="1"/>
  <c r="Q229" i="1"/>
  <c r="R228" i="1"/>
  <c r="S228" i="1" s="1"/>
  <c r="P228" i="1" s="1"/>
  <c r="Q228" i="1"/>
  <c r="S227" i="1"/>
  <c r="O227" i="1" s="1"/>
  <c r="R227" i="1"/>
  <c r="Q227" i="1"/>
  <c r="S226" i="1"/>
  <c r="P226" i="1" s="1"/>
  <c r="R226" i="1"/>
  <c r="Q226" i="1"/>
  <c r="R225" i="1"/>
  <c r="S225" i="1" s="1"/>
  <c r="O225" i="1" s="1"/>
  <c r="Q225" i="1"/>
  <c r="P225" i="1"/>
  <c r="S224" i="1"/>
  <c r="O224" i="1" s="1"/>
  <c r="R224" i="1"/>
  <c r="Q224" i="1"/>
  <c r="R223" i="1"/>
  <c r="S223" i="1" s="1"/>
  <c r="O223" i="1" s="1"/>
  <c r="Q223" i="1"/>
  <c r="P223" i="1"/>
  <c r="R222" i="1"/>
  <c r="S222" i="1" s="1"/>
  <c r="P222" i="1" s="1"/>
  <c r="Q222" i="1"/>
  <c r="R221" i="1"/>
  <c r="S221" i="1" s="1"/>
  <c r="Q221" i="1"/>
  <c r="S220" i="1"/>
  <c r="R220" i="1"/>
  <c r="Q220" i="1"/>
  <c r="S219" i="1"/>
  <c r="R219" i="1"/>
  <c r="Q219" i="1"/>
  <c r="P219" i="1"/>
  <c r="S218" i="1"/>
  <c r="R218" i="1"/>
  <c r="Q218" i="1"/>
  <c r="R217" i="1"/>
  <c r="S217" i="1" s="1"/>
  <c r="Q217" i="1"/>
  <c r="R216" i="1"/>
  <c r="S216" i="1" s="1"/>
  <c r="P216" i="1" s="1"/>
  <c r="Q216" i="1"/>
  <c r="S215" i="1"/>
  <c r="R215" i="1"/>
  <c r="Q215" i="1"/>
  <c r="O215" i="1"/>
  <c r="R214" i="1"/>
  <c r="S214" i="1" s="1"/>
  <c r="P214" i="1" s="1"/>
  <c r="Q214" i="1"/>
  <c r="R213" i="1"/>
  <c r="S213" i="1" s="1"/>
  <c r="O213" i="1" s="1"/>
  <c r="Q213" i="1"/>
  <c r="S212" i="1"/>
  <c r="O212" i="1" s="1"/>
  <c r="R212" i="1"/>
  <c r="Q212" i="1"/>
  <c r="S211" i="1"/>
  <c r="P211" i="1" s="1"/>
  <c r="R211" i="1"/>
  <c r="Q211" i="1"/>
  <c r="O211" i="1"/>
  <c r="R210" i="1"/>
  <c r="S210" i="1" s="1"/>
  <c r="Q210" i="1"/>
  <c r="R209" i="1"/>
  <c r="S209" i="1" s="1"/>
  <c r="P209" i="1" s="1"/>
  <c r="Q209" i="1"/>
  <c r="O209" i="1"/>
  <c r="S208" i="1"/>
  <c r="R208" i="1"/>
  <c r="Q208" i="1"/>
  <c r="R207" i="1"/>
  <c r="S207" i="1" s="1"/>
  <c r="Q207" i="1"/>
  <c r="R206" i="1"/>
  <c r="S206" i="1" s="1"/>
  <c r="P206" i="1" s="1"/>
  <c r="Q206" i="1"/>
  <c r="R205" i="1"/>
  <c r="S205" i="1" s="1"/>
  <c r="Q205" i="1"/>
  <c r="S204" i="1"/>
  <c r="P204" i="1" s="1"/>
  <c r="R204" i="1"/>
  <c r="Q204" i="1"/>
  <c r="S203" i="1"/>
  <c r="R203" i="1"/>
  <c r="Q203" i="1"/>
  <c r="P203" i="1"/>
  <c r="R202" i="1"/>
  <c r="S202" i="1" s="1"/>
  <c r="Q202" i="1"/>
  <c r="S201" i="1"/>
  <c r="R201" i="1"/>
  <c r="Q201" i="1"/>
  <c r="O201" i="1"/>
  <c r="R200" i="1"/>
  <c r="S200" i="1" s="1"/>
  <c r="Q200" i="1"/>
  <c r="S199" i="1"/>
  <c r="R199" i="1"/>
  <c r="Q199" i="1"/>
  <c r="P199" i="1"/>
  <c r="R198" i="1"/>
  <c r="S198" i="1" s="1"/>
  <c r="P198" i="1" s="1"/>
  <c r="Q198" i="1"/>
  <c r="R197" i="1"/>
  <c r="S197" i="1" s="1"/>
  <c r="P197" i="1" s="1"/>
  <c r="Q197" i="1"/>
  <c r="O197" i="1"/>
  <c r="S196" i="1"/>
  <c r="R196" i="1"/>
  <c r="Q196" i="1"/>
  <c r="R195" i="1"/>
  <c r="S195" i="1" s="1"/>
  <c r="Q195" i="1"/>
  <c r="S194" i="1"/>
  <c r="O194" i="1" s="1"/>
  <c r="R194" i="1"/>
  <c r="Q194" i="1"/>
  <c r="S193" i="1"/>
  <c r="R193" i="1"/>
  <c r="Q193" i="1"/>
  <c r="S192" i="1"/>
  <c r="P192" i="1" s="1"/>
  <c r="R192" i="1"/>
  <c r="Q192" i="1"/>
  <c r="R191" i="1"/>
  <c r="S191" i="1" s="1"/>
  <c r="Q191" i="1"/>
  <c r="O191" i="1"/>
  <c r="R190" i="1"/>
  <c r="S190" i="1" s="1"/>
  <c r="Q190" i="1"/>
  <c r="R189" i="1"/>
  <c r="S189" i="1" s="1"/>
  <c r="Q189" i="1"/>
  <c r="O189" i="1"/>
  <c r="S188" i="1"/>
  <c r="R188" i="1"/>
  <c r="Q188" i="1"/>
  <c r="R187" i="1"/>
  <c r="S187" i="1" s="1"/>
  <c r="Q187" i="1"/>
  <c r="S186" i="1"/>
  <c r="R186" i="1"/>
  <c r="Q186" i="1"/>
  <c r="S185" i="1"/>
  <c r="O185" i="1" s="1"/>
  <c r="R185" i="1"/>
  <c r="Q185" i="1"/>
  <c r="S184" i="1"/>
  <c r="P184" i="1" s="1"/>
  <c r="R184" i="1"/>
  <c r="Q184" i="1"/>
  <c r="O184" i="1"/>
  <c r="R183" i="1"/>
  <c r="S183" i="1" s="1"/>
  <c r="P183" i="1" s="1"/>
  <c r="Q183" i="1"/>
  <c r="R182" i="1"/>
  <c r="S182" i="1" s="1"/>
  <c r="Q182" i="1"/>
  <c r="R181" i="1"/>
  <c r="S181" i="1" s="1"/>
  <c r="P181" i="1" s="1"/>
  <c r="Q181" i="1"/>
  <c r="S180" i="1"/>
  <c r="R180" i="1"/>
  <c r="Q180" i="1"/>
  <c r="O180" i="1"/>
  <c r="R179" i="1"/>
  <c r="S179" i="1" s="1"/>
  <c r="Q179" i="1"/>
  <c r="S178" i="1"/>
  <c r="R178" i="1"/>
  <c r="Q178" i="1"/>
  <c r="P178" i="1"/>
  <c r="S177" i="1"/>
  <c r="O177" i="1" s="1"/>
  <c r="R177" i="1"/>
  <c r="Q177" i="1"/>
  <c r="S176" i="1"/>
  <c r="R176" i="1"/>
  <c r="Q176" i="1"/>
  <c r="P176" i="1"/>
  <c r="O176" i="1"/>
  <c r="R175" i="1"/>
  <c r="S175" i="1" s="1"/>
  <c r="Q175" i="1"/>
  <c r="R174" i="1"/>
  <c r="S174" i="1" s="1"/>
  <c r="Q174" i="1"/>
  <c r="R173" i="1"/>
  <c r="S173" i="1" s="1"/>
  <c r="Q173" i="1"/>
  <c r="S172" i="1"/>
  <c r="R172" i="1"/>
  <c r="Q172" i="1"/>
  <c r="O172" i="1"/>
  <c r="R171" i="1"/>
  <c r="S171" i="1" s="1"/>
  <c r="Q171" i="1"/>
  <c r="S170" i="1"/>
  <c r="O170" i="1" s="1"/>
  <c r="R170" i="1"/>
  <c r="Q170" i="1"/>
  <c r="P170" i="1"/>
  <c r="S169" i="1"/>
  <c r="P169" i="1" s="1"/>
  <c r="R169" i="1"/>
  <c r="Q169" i="1"/>
  <c r="S168" i="1"/>
  <c r="P168" i="1" s="1"/>
  <c r="R168" i="1"/>
  <c r="Q168" i="1"/>
  <c r="R167" i="1"/>
  <c r="S167" i="1" s="1"/>
  <c r="P167" i="1" s="1"/>
  <c r="Q167" i="1"/>
  <c r="O167" i="1"/>
  <c r="R166" i="1"/>
  <c r="S166" i="1" s="1"/>
  <c r="Q166" i="1"/>
  <c r="R165" i="1"/>
  <c r="S165" i="1" s="1"/>
  <c r="P165" i="1" s="1"/>
  <c r="Q165" i="1"/>
  <c r="O165" i="1"/>
  <c r="S164" i="1"/>
  <c r="P164" i="1" s="1"/>
  <c r="R164" i="1"/>
  <c r="Q164" i="1"/>
  <c r="R163" i="1"/>
  <c r="S163" i="1" s="1"/>
  <c r="Q163" i="1"/>
  <c r="S162" i="1"/>
  <c r="P162" i="1" s="1"/>
  <c r="R162" i="1"/>
  <c r="Q162" i="1"/>
  <c r="S161" i="1"/>
  <c r="R161" i="1"/>
  <c r="Q161" i="1"/>
  <c r="P161" i="1"/>
  <c r="S160" i="1"/>
  <c r="P160" i="1" s="1"/>
  <c r="R160" i="1"/>
  <c r="Q160" i="1"/>
  <c r="R159" i="1"/>
  <c r="S159" i="1" s="1"/>
  <c r="Q159" i="1"/>
  <c r="P159" i="1"/>
  <c r="O159" i="1"/>
  <c r="R158" i="1"/>
  <c r="S158" i="1" s="1"/>
  <c r="Q158" i="1"/>
  <c r="R157" i="1"/>
  <c r="S157" i="1" s="1"/>
  <c r="Q157" i="1"/>
  <c r="P157" i="1"/>
  <c r="O157" i="1"/>
  <c r="S156" i="1"/>
  <c r="R156" i="1"/>
  <c r="Q156" i="1"/>
  <c r="R155" i="1"/>
  <c r="S155" i="1" s="1"/>
  <c r="Q155" i="1"/>
  <c r="S154" i="1"/>
  <c r="R154" i="1"/>
  <c r="Q154" i="1"/>
  <c r="S153" i="1"/>
  <c r="O153" i="1" s="1"/>
  <c r="R153" i="1"/>
  <c r="Q153" i="1"/>
  <c r="S152" i="1"/>
  <c r="P152" i="1" s="1"/>
  <c r="R152" i="1"/>
  <c r="Q152" i="1"/>
  <c r="O152" i="1"/>
  <c r="R151" i="1"/>
  <c r="S151" i="1" s="1"/>
  <c r="P151" i="1" s="1"/>
  <c r="Q151" i="1"/>
  <c r="R150" i="1"/>
  <c r="S150" i="1" s="1"/>
  <c r="Q150" i="1"/>
  <c r="R149" i="1"/>
  <c r="S149" i="1" s="1"/>
  <c r="P149" i="1" s="1"/>
  <c r="Q149" i="1"/>
  <c r="S148" i="1"/>
  <c r="R148" i="1"/>
  <c r="Q148" i="1"/>
  <c r="O148" i="1"/>
  <c r="R147" i="1"/>
  <c r="S147" i="1" s="1"/>
  <c r="Q147" i="1"/>
  <c r="S146" i="1"/>
  <c r="R146" i="1"/>
  <c r="Q146" i="1"/>
  <c r="P146" i="1"/>
  <c r="O146" i="1"/>
  <c r="S145" i="1"/>
  <c r="O145" i="1" s="1"/>
  <c r="R145" i="1"/>
  <c r="Q145" i="1"/>
  <c r="S144" i="1"/>
  <c r="R144" i="1"/>
  <c r="Q144" i="1"/>
  <c r="P144" i="1"/>
  <c r="O144" i="1"/>
  <c r="R143" i="1"/>
  <c r="S143" i="1" s="1"/>
  <c r="Q143" i="1"/>
  <c r="O143" i="1"/>
  <c r="R142" i="1"/>
  <c r="S142" i="1" s="1"/>
  <c r="Q142" i="1"/>
  <c r="R141" i="1"/>
  <c r="S141" i="1" s="1"/>
  <c r="Q141" i="1"/>
  <c r="O141" i="1"/>
  <c r="S140" i="1"/>
  <c r="R140" i="1"/>
  <c r="Q140" i="1"/>
  <c r="O140" i="1"/>
  <c r="R139" i="1"/>
  <c r="S139" i="1" s="1"/>
  <c r="Q139" i="1"/>
  <c r="S138" i="1"/>
  <c r="O138" i="1" s="1"/>
  <c r="R138" i="1"/>
  <c r="Q138" i="1"/>
  <c r="P138" i="1"/>
  <c r="S137" i="1"/>
  <c r="O137" i="1" s="1"/>
  <c r="R137" i="1"/>
  <c r="Q137" i="1"/>
  <c r="S136" i="1"/>
  <c r="P136" i="1" s="1"/>
  <c r="R136" i="1"/>
  <c r="Q136" i="1"/>
  <c r="R135" i="1"/>
  <c r="S135" i="1" s="1"/>
  <c r="P135" i="1" s="1"/>
  <c r="Q135" i="1"/>
  <c r="O135" i="1"/>
  <c r="R134" i="1"/>
  <c r="S134" i="1" s="1"/>
  <c r="Q134" i="1"/>
  <c r="R133" i="1"/>
  <c r="S133" i="1" s="1"/>
  <c r="P133" i="1" s="1"/>
  <c r="Q133" i="1"/>
  <c r="O133" i="1"/>
  <c r="S132" i="1"/>
  <c r="P132" i="1" s="1"/>
  <c r="R132" i="1"/>
  <c r="Q132" i="1"/>
  <c r="R131" i="1"/>
  <c r="S131" i="1" s="1"/>
  <c r="Q131" i="1"/>
  <c r="S130" i="1"/>
  <c r="P130" i="1" s="1"/>
  <c r="R130" i="1"/>
  <c r="Q130" i="1"/>
  <c r="S129" i="1"/>
  <c r="O129" i="1" s="1"/>
  <c r="R129" i="1"/>
  <c r="Q129" i="1"/>
  <c r="P129" i="1"/>
  <c r="S128" i="1"/>
  <c r="O128" i="1" s="1"/>
  <c r="R128" i="1"/>
  <c r="Q128" i="1"/>
  <c r="R127" i="1"/>
  <c r="S127" i="1" s="1"/>
  <c r="Q127" i="1"/>
  <c r="P127" i="1"/>
  <c r="O127" i="1"/>
  <c r="R126" i="1"/>
  <c r="S126" i="1" s="1"/>
  <c r="Q126" i="1"/>
  <c r="R125" i="1"/>
  <c r="S125" i="1" s="1"/>
  <c r="Q125" i="1"/>
  <c r="P125" i="1"/>
  <c r="O125" i="1"/>
  <c r="S124" i="1"/>
  <c r="R124" i="1"/>
  <c r="Q124" i="1"/>
  <c r="O124" i="1"/>
  <c r="R123" i="1"/>
  <c r="S123" i="1" s="1"/>
  <c r="Q123" i="1"/>
  <c r="S122" i="1"/>
  <c r="R122" i="1"/>
  <c r="Q122" i="1"/>
  <c r="P122" i="1"/>
  <c r="R121" i="1"/>
  <c r="S121" i="1" s="1"/>
  <c r="Q121" i="1"/>
  <c r="S120" i="1"/>
  <c r="P120" i="1" s="1"/>
  <c r="R120" i="1"/>
  <c r="Q120" i="1"/>
  <c r="O120" i="1"/>
  <c r="R119" i="1"/>
  <c r="S119" i="1" s="1"/>
  <c r="P119" i="1" s="1"/>
  <c r="Q119" i="1"/>
  <c r="R118" i="1"/>
  <c r="S118" i="1" s="1"/>
  <c r="Q118" i="1"/>
  <c r="R117" i="1"/>
  <c r="S117" i="1" s="1"/>
  <c r="P117" i="1" s="1"/>
  <c r="Q117" i="1"/>
  <c r="S116" i="1"/>
  <c r="P116" i="1" s="1"/>
  <c r="R116" i="1"/>
  <c r="Q116" i="1"/>
  <c r="O116" i="1"/>
  <c r="S115" i="1"/>
  <c r="O115" i="1" s="1"/>
  <c r="R115" i="1"/>
  <c r="Q115" i="1"/>
  <c r="S114" i="1"/>
  <c r="R114" i="1"/>
  <c r="Q114" i="1"/>
  <c r="P114" i="1"/>
  <c r="O114" i="1"/>
  <c r="S113" i="1"/>
  <c r="O113" i="1" s="1"/>
  <c r="R113" i="1"/>
  <c r="Q113" i="1"/>
  <c r="S112" i="1"/>
  <c r="R112" i="1"/>
  <c r="Q112" i="1"/>
  <c r="P112" i="1"/>
  <c r="O112" i="1"/>
  <c r="R111" i="1"/>
  <c r="S111" i="1" s="1"/>
  <c r="Q111" i="1"/>
  <c r="P111" i="1"/>
  <c r="O111" i="1"/>
  <c r="R110" i="1"/>
  <c r="S110" i="1" s="1"/>
  <c r="Q110" i="1"/>
  <c r="R109" i="1"/>
  <c r="S109" i="1" s="1"/>
  <c r="Q109" i="1"/>
  <c r="P109" i="1"/>
  <c r="O109" i="1"/>
  <c r="S108" i="1"/>
  <c r="R108" i="1"/>
  <c r="Q108" i="1"/>
  <c r="O108" i="1"/>
  <c r="R107" i="1"/>
  <c r="S107" i="1" s="1"/>
  <c r="Q107" i="1"/>
  <c r="S106" i="1"/>
  <c r="O106" i="1" s="1"/>
  <c r="R106" i="1"/>
  <c r="Q106" i="1"/>
  <c r="P106" i="1"/>
  <c r="R105" i="1"/>
  <c r="S105" i="1" s="1"/>
  <c r="Q105" i="1"/>
  <c r="R104" i="1"/>
  <c r="S104" i="1" s="1"/>
  <c r="Q104" i="1"/>
  <c r="R103" i="1"/>
  <c r="S103" i="1" s="1"/>
  <c r="P103" i="1" s="1"/>
  <c r="Q103" i="1"/>
  <c r="O103" i="1"/>
  <c r="R102" i="1"/>
  <c r="S102" i="1" s="1"/>
  <c r="Q102" i="1"/>
  <c r="R101" i="1"/>
  <c r="S101" i="1" s="1"/>
  <c r="P101" i="1" s="1"/>
  <c r="Q101" i="1"/>
  <c r="O101" i="1"/>
  <c r="S100" i="1"/>
  <c r="P100" i="1" s="1"/>
  <c r="R100" i="1"/>
  <c r="Q100" i="1"/>
  <c r="R99" i="1"/>
  <c r="S99" i="1" s="1"/>
  <c r="Q99" i="1"/>
  <c r="S98" i="1"/>
  <c r="P98" i="1" s="1"/>
  <c r="R98" i="1"/>
  <c r="Q98" i="1"/>
  <c r="S97" i="1"/>
  <c r="O97" i="1" s="1"/>
  <c r="R97" i="1"/>
  <c r="Q97" i="1"/>
  <c r="P97" i="1"/>
  <c r="S96" i="1"/>
  <c r="P96" i="1" s="1"/>
  <c r="R96" i="1"/>
  <c r="Q96" i="1"/>
  <c r="R95" i="1"/>
  <c r="S95" i="1" s="1"/>
  <c r="Q95" i="1"/>
  <c r="P95" i="1"/>
  <c r="O95" i="1"/>
  <c r="R94" i="1"/>
  <c r="S94" i="1" s="1"/>
  <c r="Q94" i="1"/>
  <c r="R93" i="1"/>
  <c r="S93" i="1" s="1"/>
  <c r="Q93" i="1"/>
  <c r="P93" i="1"/>
  <c r="O93" i="1"/>
  <c r="S92" i="1"/>
  <c r="R92" i="1"/>
  <c r="Q92" i="1"/>
  <c r="O92" i="1"/>
  <c r="R91" i="1"/>
  <c r="S91" i="1" s="1"/>
  <c r="Q91" i="1"/>
  <c r="S90" i="1"/>
  <c r="R90" i="1"/>
  <c r="Q90" i="1"/>
  <c r="P90" i="1"/>
  <c r="R89" i="1"/>
  <c r="S89" i="1" s="1"/>
  <c r="Q89" i="1"/>
  <c r="R88" i="1"/>
  <c r="S88" i="1" s="1"/>
  <c r="Q88" i="1"/>
  <c r="R87" i="1"/>
  <c r="S87" i="1" s="1"/>
  <c r="P87" i="1" s="1"/>
  <c r="Q87" i="1"/>
  <c r="R86" i="1"/>
  <c r="S86" i="1" s="1"/>
  <c r="Q86" i="1"/>
  <c r="R85" i="1"/>
  <c r="S85" i="1" s="1"/>
  <c r="Q85" i="1"/>
  <c r="S84" i="1"/>
  <c r="R84" i="1"/>
  <c r="Q84" i="1"/>
  <c r="P84" i="1"/>
  <c r="O84" i="1"/>
  <c r="R83" i="1"/>
  <c r="S83" i="1" s="1"/>
  <c r="Q83" i="1"/>
  <c r="R82" i="1"/>
  <c r="S82" i="1" s="1"/>
  <c r="Q82" i="1"/>
  <c r="R81" i="1"/>
  <c r="S81" i="1" s="1"/>
  <c r="Q81" i="1"/>
  <c r="R80" i="1"/>
  <c r="S80" i="1" s="1"/>
  <c r="Q80" i="1"/>
  <c r="R79" i="1"/>
  <c r="S79" i="1" s="1"/>
  <c r="Q79" i="1"/>
  <c r="P79" i="1"/>
  <c r="O79" i="1"/>
  <c r="S78" i="1"/>
  <c r="P78" i="1" s="1"/>
  <c r="R78" i="1"/>
  <c r="Q78" i="1"/>
  <c r="S77" i="1"/>
  <c r="R77" i="1"/>
  <c r="Q77" i="1"/>
  <c r="P77" i="1"/>
  <c r="O77" i="1"/>
  <c r="S76" i="1"/>
  <c r="R76" i="1"/>
  <c r="Q76" i="1"/>
  <c r="P76" i="1"/>
  <c r="R75" i="1"/>
  <c r="S75" i="1" s="1"/>
  <c r="Q75" i="1"/>
  <c r="R74" i="1"/>
  <c r="S74" i="1" s="1"/>
  <c r="Q74" i="1"/>
  <c r="R73" i="1"/>
  <c r="S73" i="1" s="1"/>
  <c r="Q73" i="1"/>
  <c r="S72" i="1"/>
  <c r="R72" i="1"/>
  <c r="Q72" i="1"/>
  <c r="P72" i="1"/>
  <c r="O72" i="1"/>
  <c r="R71" i="1"/>
  <c r="S71" i="1" s="1"/>
  <c r="Q71" i="1"/>
  <c r="P71" i="1"/>
  <c r="O71" i="1"/>
  <c r="R70" i="1"/>
  <c r="S70" i="1" s="1"/>
  <c r="Q70" i="1"/>
  <c r="R69" i="1"/>
  <c r="S69" i="1" s="1"/>
  <c r="Q69" i="1"/>
  <c r="S68" i="1"/>
  <c r="P68" i="1" s="1"/>
  <c r="R68" i="1"/>
  <c r="Q68" i="1"/>
  <c r="R67" i="1"/>
  <c r="S67" i="1" s="1"/>
  <c r="Q67" i="1"/>
  <c r="R66" i="1"/>
  <c r="S66" i="1" s="1"/>
  <c r="Q66" i="1"/>
  <c r="S65" i="1"/>
  <c r="R65" i="1"/>
  <c r="Q65" i="1"/>
  <c r="P65" i="1"/>
  <c r="O65" i="1"/>
  <c r="R64" i="1"/>
  <c r="S64" i="1" s="1"/>
  <c r="Q64" i="1"/>
  <c r="R63" i="1"/>
  <c r="S63" i="1" s="1"/>
  <c r="O63" i="1" s="1"/>
  <c r="Q63" i="1"/>
  <c r="P63" i="1"/>
  <c r="R62" i="1"/>
  <c r="S62" i="1" s="1"/>
  <c r="Q62" i="1"/>
  <c r="R61" i="1"/>
  <c r="S61" i="1" s="1"/>
  <c r="Q61" i="1"/>
  <c r="S60" i="1"/>
  <c r="R60" i="1"/>
  <c r="Q60" i="1"/>
  <c r="P60" i="1"/>
  <c r="O60" i="1"/>
  <c r="S59" i="1"/>
  <c r="O59" i="1" s="1"/>
  <c r="R59" i="1"/>
  <c r="Q59" i="1"/>
  <c r="S58" i="1"/>
  <c r="R58" i="1"/>
  <c r="Q58" i="1"/>
  <c r="P58" i="1"/>
  <c r="O58" i="1"/>
  <c r="R57" i="1"/>
  <c r="S57" i="1" s="1"/>
  <c r="Q57" i="1"/>
  <c r="R56" i="1"/>
  <c r="S56" i="1" s="1"/>
  <c r="Q56" i="1"/>
  <c r="R55" i="1"/>
  <c r="S55" i="1" s="1"/>
  <c r="P55" i="1" s="1"/>
  <c r="Q55" i="1"/>
  <c r="O55" i="1"/>
  <c r="R54" i="1"/>
  <c r="S54" i="1" s="1"/>
  <c r="Q54" i="1"/>
  <c r="R53" i="1"/>
  <c r="S53" i="1" s="1"/>
  <c r="Q53" i="1"/>
  <c r="S52" i="1"/>
  <c r="P52" i="1" s="1"/>
  <c r="R52" i="1"/>
  <c r="Q52" i="1"/>
  <c r="R51" i="1"/>
  <c r="S51" i="1" s="1"/>
  <c r="Q51" i="1"/>
  <c r="R50" i="1"/>
  <c r="S50" i="1" s="1"/>
  <c r="Q50" i="1"/>
  <c r="R49" i="1"/>
  <c r="S49" i="1" s="1"/>
  <c r="Q49" i="1"/>
  <c r="R48" i="1"/>
  <c r="S48" i="1" s="1"/>
  <c r="Q48" i="1"/>
  <c r="R47" i="1"/>
  <c r="S47" i="1" s="1"/>
  <c r="O47" i="1" s="1"/>
  <c r="Q47" i="1"/>
  <c r="S46" i="1"/>
  <c r="P46" i="1" s="1"/>
  <c r="R46" i="1"/>
  <c r="Q46" i="1"/>
  <c r="O46" i="1"/>
  <c r="S45" i="1"/>
  <c r="P45" i="1" s="1"/>
  <c r="R45" i="1"/>
  <c r="Q45" i="1"/>
  <c r="S44" i="1"/>
  <c r="O44" i="1" s="1"/>
  <c r="R44" i="1"/>
  <c r="Q44" i="1"/>
  <c r="P44" i="1"/>
  <c r="R43" i="1"/>
  <c r="S43" i="1" s="1"/>
  <c r="Q43" i="1"/>
  <c r="R42" i="1"/>
  <c r="S42" i="1" s="1"/>
  <c r="Q42" i="1"/>
  <c r="R41" i="1"/>
  <c r="S41" i="1" s="1"/>
  <c r="Q41" i="1"/>
  <c r="S40" i="1"/>
  <c r="P40" i="1" s="1"/>
  <c r="R40" i="1"/>
  <c r="Q40" i="1"/>
  <c r="R39" i="1"/>
  <c r="S39" i="1" s="1"/>
  <c r="Q39" i="1"/>
  <c r="P39" i="1"/>
  <c r="O39" i="1"/>
  <c r="R38" i="1"/>
  <c r="S38" i="1" s="1"/>
  <c r="Q38" i="1"/>
  <c r="R37" i="1"/>
  <c r="S37" i="1" s="1"/>
  <c r="Q37" i="1"/>
  <c r="S36" i="1"/>
  <c r="P36" i="1" s="1"/>
  <c r="R36" i="1"/>
  <c r="Q36" i="1"/>
  <c r="O36" i="1"/>
  <c r="R35" i="1"/>
  <c r="S35" i="1" s="1"/>
  <c r="Q35" i="1"/>
  <c r="R34" i="1"/>
  <c r="S34" i="1" s="1"/>
  <c r="Q34" i="1"/>
  <c r="S33" i="1"/>
  <c r="P33" i="1" s="1"/>
  <c r="R33" i="1"/>
  <c r="Q33" i="1"/>
  <c r="R32" i="1"/>
  <c r="S32" i="1" s="1"/>
  <c r="Q32" i="1"/>
  <c r="R31" i="1"/>
  <c r="S31" i="1" s="1"/>
  <c r="O31" i="1" s="1"/>
  <c r="Q31" i="1"/>
  <c r="P31" i="1"/>
  <c r="R30" i="1"/>
  <c r="S30" i="1" s="1"/>
  <c r="Q30" i="1"/>
  <c r="R29" i="1"/>
  <c r="S29" i="1" s="1"/>
  <c r="Q29" i="1"/>
  <c r="S28" i="1"/>
  <c r="O28" i="1" s="1"/>
  <c r="R28" i="1"/>
  <c r="Q28" i="1"/>
  <c r="S27" i="1"/>
  <c r="O27" i="1" s="1"/>
  <c r="R27" i="1"/>
  <c r="Q27" i="1"/>
  <c r="P27" i="1"/>
  <c r="S26" i="1"/>
  <c r="P26" i="1" s="1"/>
  <c r="R26" i="1"/>
  <c r="Q26" i="1"/>
  <c r="R25" i="1"/>
  <c r="S25" i="1" s="1"/>
  <c r="Q25" i="1"/>
  <c r="R24" i="1"/>
  <c r="S24" i="1" s="1"/>
  <c r="Q24" i="1"/>
  <c r="R23" i="1"/>
  <c r="S23" i="1" s="1"/>
  <c r="P23" i="1" s="1"/>
  <c r="Q23" i="1"/>
  <c r="R22" i="1"/>
  <c r="S22" i="1" s="1"/>
  <c r="Q22" i="1"/>
  <c r="R21" i="1"/>
  <c r="S21" i="1" s="1"/>
  <c r="Q21" i="1"/>
  <c r="S20" i="1"/>
  <c r="R20" i="1"/>
  <c r="Q20" i="1"/>
  <c r="P20" i="1"/>
  <c r="O20" i="1"/>
  <c r="R19" i="1"/>
  <c r="S19" i="1" s="1"/>
  <c r="Q19" i="1"/>
  <c r="R18" i="1"/>
  <c r="S18" i="1" s="1"/>
  <c r="Q18" i="1"/>
  <c r="R17" i="1"/>
  <c r="S17" i="1" s="1"/>
  <c r="Q17" i="1"/>
  <c r="R16" i="1"/>
  <c r="S16" i="1" s="1"/>
  <c r="Q16" i="1"/>
  <c r="R15" i="1"/>
  <c r="S15" i="1" s="1"/>
  <c r="Q15" i="1"/>
  <c r="P15" i="1"/>
  <c r="O15" i="1"/>
  <c r="S14" i="1"/>
  <c r="P14" i="1" s="1"/>
  <c r="R14" i="1"/>
  <c r="Q14" i="1"/>
  <c r="S13" i="1"/>
  <c r="R13" i="1"/>
  <c r="Q13" i="1"/>
  <c r="P13" i="1"/>
  <c r="O13" i="1"/>
  <c r="S12" i="1"/>
  <c r="R12" i="1"/>
  <c r="Q12" i="1"/>
  <c r="P12" i="1"/>
  <c r="O12" i="1"/>
  <c r="R11" i="1"/>
  <c r="S11" i="1" s="1"/>
  <c r="Q11" i="1"/>
  <c r="R10" i="1"/>
  <c r="S10" i="1" s="1"/>
  <c r="Q10" i="1"/>
  <c r="R9" i="1"/>
  <c r="S9" i="1" s="1"/>
  <c r="Q9" i="1"/>
  <c r="S8" i="1"/>
  <c r="R8" i="1"/>
  <c r="Q8" i="1"/>
  <c r="P8" i="1"/>
  <c r="O8" i="1"/>
  <c r="R7" i="1"/>
  <c r="S7" i="1" s="1"/>
  <c r="Q7" i="1"/>
  <c r="P7" i="1"/>
  <c r="O7" i="1"/>
  <c r="R6" i="1"/>
  <c r="S6" i="1" s="1"/>
  <c r="Q6" i="1"/>
  <c r="R5" i="1"/>
  <c r="S5" i="1" s="1"/>
  <c r="Q5" i="1"/>
  <c r="S4" i="1"/>
  <c r="P4" i="1" s="1"/>
  <c r="R4" i="1"/>
  <c r="Q4" i="1"/>
  <c r="R3" i="1"/>
  <c r="S3" i="1" s="1"/>
  <c r="Q3" i="1"/>
  <c r="R2" i="1"/>
  <c r="S2" i="1" s="1"/>
  <c r="Q2" i="1"/>
  <c r="P69" i="1" l="1"/>
  <c r="O69" i="1"/>
  <c r="P85" i="1"/>
  <c r="O85" i="1"/>
  <c r="O89" i="1"/>
  <c r="P89" i="1"/>
  <c r="P94" i="1"/>
  <c r="O94" i="1"/>
  <c r="O99" i="1"/>
  <c r="P99" i="1"/>
  <c r="P102" i="1"/>
  <c r="O102" i="1"/>
  <c r="O207" i="1"/>
  <c r="P207" i="1"/>
  <c r="O210" i="1"/>
  <c r="P210" i="1"/>
  <c r="P54" i="1"/>
  <c r="O54" i="1"/>
  <c r="O107" i="1"/>
  <c r="P107" i="1"/>
  <c r="O24" i="1"/>
  <c r="P24" i="1"/>
  <c r="O48" i="1"/>
  <c r="P48" i="1"/>
  <c r="P5" i="1"/>
  <c r="O5" i="1"/>
  <c r="O18" i="1"/>
  <c r="P18" i="1"/>
  <c r="O43" i="1"/>
  <c r="P43" i="1"/>
  <c r="P66" i="1"/>
  <c r="O66" i="1"/>
  <c r="O75" i="1"/>
  <c r="P75" i="1"/>
  <c r="O83" i="1"/>
  <c r="P83" i="1"/>
  <c r="O123" i="1"/>
  <c r="P123" i="1"/>
  <c r="O187" i="1"/>
  <c r="P187" i="1"/>
  <c r="P190" i="1"/>
  <c r="O190" i="1"/>
  <c r="O32" i="1"/>
  <c r="P32" i="1"/>
  <c r="O147" i="1"/>
  <c r="P147" i="1"/>
  <c r="O2" i="1"/>
  <c r="P2" i="1"/>
  <c r="P21" i="1"/>
  <c r="O21" i="1"/>
  <c r="O25" i="1"/>
  <c r="P25" i="1"/>
  <c r="O37" i="1"/>
  <c r="P37" i="1"/>
  <c r="P49" i="1"/>
  <c r="O49" i="1"/>
  <c r="P56" i="1"/>
  <c r="O56" i="1"/>
  <c r="P64" i="1"/>
  <c r="O64" i="1"/>
  <c r="P70" i="1"/>
  <c r="O70" i="1"/>
  <c r="P86" i="1"/>
  <c r="O86" i="1"/>
  <c r="O139" i="1"/>
  <c r="P139" i="1"/>
  <c r="P240" i="1"/>
  <c r="O240" i="1"/>
  <c r="P73" i="1"/>
  <c r="O73" i="1"/>
  <c r="O10" i="1"/>
  <c r="P10" i="1"/>
  <c r="O11" i="1"/>
  <c r="P11" i="1"/>
  <c r="P34" i="1"/>
  <c r="O34" i="1"/>
  <c r="P6" i="1"/>
  <c r="O6" i="1"/>
  <c r="O19" i="1"/>
  <c r="P19" i="1"/>
  <c r="O53" i="1"/>
  <c r="P53" i="1"/>
  <c r="P61" i="1"/>
  <c r="O61" i="1"/>
  <c r="O67" i="1"/>
  <c r="P67" i="1"/>
  <c r="P80" i="1"/>
  <c r="O80" i="1"/>
  <c r="P118" i="1"/>
  <c r="O118" i="1"/>
  <c r="O121" i="1"/>
  <c r="P121" i="1"/>
  <c r="P126" i="1"/>
  <c r="O126" i="1"/>
  <c r="O131" i="1"/>
  <c r="P131" i="1"/>
  <c r="P134" i="1"/>
  <c r="O134" i="1"/>
  <c r="P142" i="1"/>
  <c r="O142" i="1"/>
  <c r="O155" i="1"/>
  <c r="P155" i="1"/>
  <c r="O171" i="1"/>
  <c r="P171" i="1"/>
  <c r="P174" i="1"/>
  <c r="O174" i="1"/>
  <c r="O179" i="1"/>
  <c r="P179" i="1"/>
  <c r="P182" i="1"/>
  <c r="O182" i="1"/>
  <c r="O202" i="1"/>
  <c r="P202" i="1"/>
  <c r="P217" i="1"/>
  <c r="O217" i="1"/>
  <c r="P104" i="1"/>
  <c r="O104" i="1"/>
  <c r="P30" i="1"/>
  <c r="O30" i="1"/>
  <c r="O3" i="1"/>
  <c r="P3" i="1"/>
  <c r="P22" i="1"/>
  <c r="O22" i="1"/>
  <c r="O35" i="1"/>
  <c r="P35" i="1"/>
  <c r="P38" i="1"/>
  <c r="O38" i="1"/>
  <c r="P50" i="1"/>
  <c r="O50" i="1"/>
  <c r="P57" i="1"/>
  <c r="O57" i="1"/>
  <c r="P158" i="1"/>
  <c r="O158" i="1"/>
  <c r="O163" i="1"/>
  <c r="P163" i="1"/>
  <c r="P166" i="1"/>
  <c r="O166" i="1"/>
  <c r="P205" i="1"/>
  <c r="O205" i="1"/>
  <c r="O241" i="1"/>
  <c r="P241" i="1"/>
  <c r="O200" i="1"/>
  <c r="P200" i="1"/>
  <c r="P16" i="1"/>
  <c r="O16" i="1"/>
  <c r="P62" i="1"/>
  <c r="O62" i="1"/>
  <c r="P9" i="1"/>
  <c r="O9" i="1"/>
  <c r="O29" i="1"/>
  <c r="P29" i="1"/>
  <c r="O51" i="1"/>
  <c r="P51" i="1"/>
  <c r="O88" i="1"/>
  <c r="P88" i="1"/>
  <c r="O91" i="1"/>
  <c r="P91" i="1"/>
  <c r="P233" i="1"/>
  <c r="O233" i="1"/>
  <c r="O41" i="1"/>
  <c r="P41" i="1"/>
  <c r="O81" i="1"/>
  <c r="P81" i="1"/>
  <c r="P150" i="1"/>
  <c r="O150" i="1"/>
  <c r="O17" i="1"/>
  <c r="P17" i="1"/>
  <c r="P42" i="1"/>
  <c r="O42" i="1"/>
  <c r="O74" i="1"/>
  <c r="P74" i="1"/>
  <c r="O82" i="1"/>
  <c r="P82" i="1"/>
  <c r="O105" i="1"/>
  <c r="P105" i="1"/>
  <c r="P110" i="1"/>
  <c r="O110" i="1"/>
  <c r="O195" i="1"/>
  <c r="P195" i="1"/>
  <c r="P221" i="1"/>
  <c r="O221" i="1"/>
  <c r="P236" i="1"/>
  <c r="O236" i="1"/>
  <c r="O178" i="1"/>
  <c r="P189" i="1"/>
  <c r="P191" i="1"/>
  <c r="P193" i="1"/>
  <c r="P196" i="1"/>
  <c r="O199" i="1"/>
  <c r="P208" i="1"/>
  <c r="O218" i="1"/>
  <c r="P220" i="1"/>
  <c r="O235" i="1"/>
  <c r="O243" i="1"/>
  <c r="O245" i="1"/>
  <c r="P247" i="1"/>
  <c r="O5" i="4"/>
  <c r="P14" i="4"/>
  <c r="O17" i="4"/>
  <c r="P20" i="4"/>
  <c r="O60" i="4"/>
  <c r="O72" i="4"/>
  <c r="P91" i="4"/>
  <c r="O76" i="1"/>
  <c r="O90" i="1"/>
  <c r="P108" i="1"/>
  <c r="O122" i="1"/>
  <c r="P137" i="1"/>
  <c r="P140" i="1"/>
  <c r="O154" i="1"/>
  <c r="P172" i="1"/>
  <c r="O186" i="1"/>
  <c r="P6" i="4"/>
  <c r="P39" i="4"/>
  <c r="O26" i="1"/>
  <c r="O33" i="1"/>
  <c r="O40" i="1"/>
  <c r="O45" i="1"/>
  <c r="O52" i="1"/>
  <c r="P154" i="1"/>
  <c r="O156" i="1"/>
  <c r="O160" i="1"/>
  <c r="O161" i="1"/>
  <c r="O173" i="1"/>
  <c r="O175" i="1"/>
  <c r="P186" i="1"/>
  <c r="O188" i="1"/>
  <c r="O192" i="1"/>
  <c r="O193" i="1"/>
  <c r="P227" i="1"/>
  <c r="P229" i="1"/>
  <c r="P231" i="1"/>
  <c r="P243" i="1"/>
  <c r="P245" i="1"/>
  <c r="O9" i="4"/>
  <c r="P12" i="4"/>
  <c r="O27" i="4"/>
  <c r="P128" i="1"/>
  <c r="O130" i="1"/>
  <c r="P141" i="1"/>
  <c r="P143" i="1"/>
  <c r="P145" i="1"/>
  <c r="P148" i="1"/>
  <c r="O162" i="1"/>
  <c r="P173" i="1"/>
  <c r="P175" i="1"/>
  <c r="P177" i="1"/>
  <c r="P180" i="1"/>
  <c r="P201" i="1"/>
  <c r="O203" i="1"/>
  <c r="P213" i="1"/>
  <c r="P215" i="1"/>
  <c r="O219" i="1"/>
  <c r="O228" i="1"/>
  <c r="O230" i="1"/>
  <c r="O232" i="1"/>
  <c r="P237" i="1"/>
  <c r="O24" i="4"/>
  <c r="P43" i="4"/>
  <c r="P55" i="4"/>
  <c r="O108" i="4"/>
  <c r="O96" i="1"/>
  <c r="P59" i="1"/>
  <c r="O78" i="1"/>
  <c r="O98" i="1"/>
  <c r="P113" i="1"/>
  <c r="O4" i="1"/>
  <c r="O23" i="1"/>
  <c r="P28" i="1"/>
  <c r="P47" i="1"/>
  <c r="O132" i="1"/>
  <c r="O149" i="1"/>
  <c r="O151" i="1"/>
  <c r="O164" i="1"/>
  <c r="O168" i="1"/>
  <c r="O169" i="1"/>
  <c r="O181" i="1"/>
  <c r="O183" i="1"/>
  <c r="P194" i="1"/>
  <c r="O196" i="1"/>
  <c r="O198" i="1"/>
  <c r="O204" i="1"/>
  <c r="O206" i="1"/>
  <c r="O208" i="1"/>
  <c r="O214" i="1"/>
  <c r="O216" i="1"/>
  <c r="P218" i="1"/>
  <c r="O220" i="1"/>
  <c r="P230" i="1"/>
  <c r="P242" i="1"/>
  <c r="O233" i="4"/>
  <c r="O224" i="4"/>
  <c r="O217" i="4"/>
  <c r="O208" i="4"/>
  <c r="O201" i="4"/>
  <c r="O182" i="4"/>
  <c r="P180" i="4"/>
  <c r="O176" i="4"/>
  <c r="O172" i="4"/>
  <c r="O148" i="4"/>
  <c r="P129" i="4"/>
  <c r="O116" i="4"/>
  <c r="O90" i="4"/>
  <c r="O83" i="4"/>
  <c r="O76" i="4"/>
  <c r="O226" i="4"/>
  <c r="O210" i="4"/>
  <c r="O190" i="4"/>
  <c r="P188" i="4"/>
  <c r="O186" i="4"/>
  <c r="O184" i="4"/>
  <c r="O180" i="4"/>
  <c r="P161" i="4"/>
  <c r="P159" i="4"/>
  <c r="P157" i="4"/>
  <c r="O144" i="4"/>
  <c r="O142" i="4"/>
  <c r="P140" i="4"/>
  <c r="O129" i="4"/>
  <c r="O127" i="4"/>
  <c r="P125" i="4"/>
  <c r="O62" i="4"/>
  <c r="P41" i="4"/>
  <c r="P228" i="4"/>
  <c r="P212" i="4"/>
  <c r="P196" i="4"/>
  <c r="O192" i="4"/>
  <c r="P169" i="4"/>
  <c r="P167" i="4"/>
  <c r="O161" i="4"/>
  <c r="O228" i="4"/>
  <c r="O212" i="4"/>
  <c r="O196" i="4"/>
  <c r="P236" i="4"/>
  <c r="P229" i="4"/>
  <c r="P227" i="4"/>
  <c r="P220" i="4"/>
  <c r="P213" i="4"/>
  <c r="P211" i="4"/>
  <c r="P204" i="4"/>
  <c r="P197" i="4"/>
  <c r="P195" i="4"/>
  <c r="O193" i="4"/>
  <c r="O166" i="4"/>
  <c r="P164" i="4"/>
  <c r="O162" i="4"/>
  <c r="O160" i="4"/>
  <c r="P154" i="4"/>
  <c r="P139" i="4"/>
  <c r="P137" i="4"/>
  <c r="P135" i="4"/>
  <c r="P122" i="4"/>
  <c r="O236" i="4"/>
  <c r="P231" i="4"/>
  <c r="P215" i="4"/>
  <c r="P199" i="4"/>
  <c r="O174" i="4"/>
  <c r="P172" i="4"/>
  <c r="O150" i="4"/>
  <c r="P148" i="4"/>
  <c r="P121" i="4"/>
  <c r="O73" i="4"/>
  <c r="P78" i="4"/>
  <c r="P46" i="4"/>
  <c r="P33" i="4"/>
  <c r="O31" i="4"/>
  <c r="P123" i="4"/>
  <c r="P106" i="4"/>
  <c r="P103" i="4"/>
  <c r="O46" i="4"/>
  <c r="O22" i="4"/>
  <c r="O41" i="4"/>
  <c r="P246" i="1"/>
  <c r="P138" i="4"/>
  <c r="P85" i="4"/>
  <c r="P62" i="4"/>
  <c r="O26" i="4"/>
  <c r="P105" i="4"/>
  <c r="O79" i="4"/>
  <c r="O74" i="4"/>
  <c r="P69" i="4"/>
  <c r="O57" i="4"/>
  <c r="P52" i="4"/>
  <c r="O47" i="4"/>
  <c r="P36" i="4"/>
  <c r="P34" i="4"/>
  <c r="O32" i="4"/>
  <c r="P17" i="4"/>
  <c r="P9" i="4"/>
  <c r="O140" i="4"/>
  <c r="P119" i="4"/>
  <c r="O54" i="4"/>
  <c r="O36" i="4"/>
  <c r="O34" i="4"/>
  <c r="P21" i="4"/>
  <c r="O19" i="4"/>
  <c r="P15" i="4"/>
  <c r="O13" i="4"/>
  <c r="O11" i="4"/>
  <c r="P7" i="4"/>
  <c r="O3" i="4"/>
  <c r="P107" i="4"/>
  <c r="P84" i="4"/>
  <c r="P71" i="4"/>
  <c r="P66" i="4"/>
  <c r="P59" i="4"/>
  <c r="O40" i="4"/>
  <c r="O38" i="4"/>
  <c r="P4" i="4"/>
  <c r="P28" i="4"/>
  <c r="O28" i="4"/>
  <c r="O67" i="4"/>
  <c r="O14" i="1"/>
  <c r="O68" i="1"/>
  <c r="O87" i="1"/>
  <c r="O100" i="1"/>
  <c r="P115" i="1"/>
  <c r="O117" i="1"/>
  <c r="O119" i="1"/>
  <c r="O136" i="1"/>
  <c r="P92" i="1"/>
  <c r="P124" i="1"/>
  <c r="P153" i="1"/>
  <c r="P156" i="1"/>
  <c r="P185" i="1"/>
  <c r="P188" i="1"/>
  <c r="P212" i="1"/>
  <c r="P25" i="4"/>
  <c r="O222" i="1"/>
  <c r="P224" i="1"/>
  <c r="O226" i="1"/>
  <c r="O234" i="1"/>
  <c r="P234" i="1"/>
  <c r="O238" i="1"/>
  <c r="O242" i="1"/>
  <c r="O247" i="1"/>
  <c r="P22" i="4"/>
  <c r="P50" i="4"/>
  <c r="P65" i="4"/>
  <c r="P2" i="4"/>
  <c r="O2" i="4"/>
  <c r="O8" i="4"/>
  <c r="P10" i="4"/>
  <c r="O10" i="4"/>
  <c r="O16" i="4"/>
  <c r="P18" i="4"/>
  <c r="O18" i="4"/>
  <c r="P27" i="4"/>
  <c r="O33" i="4"/>
  <c r="P35" i="4"/>
  <c r="P48" i="4"/>
  <c r="O48" i="4"/>
  <c r="O53" i="4"/>
  <c r="P80" i="4"/>
  <c r="O80" i="4"/>
  <c r="P89" i="4"/>
  <c r="P94" i="4"/>
  <c r="O94" i="4"/>
  <c r="O115" i="4"/>
  <c r="P115" i="4"/>
  <c r="O118" i="4"/>
  <c r="P126" i="4"/>
  <c r="O126" i="4"/>
  <c r="P136" i="4"/>
  <c r="O136" i="4"/>
  <c r="O155" i="4"/>
  <c r="P155" i="4"/>
  <c r="O164" i="4"/>
  <c r="P171" i="4"/>
  <c r="P187" i="4"/>
  <c r="P193" i="4"/>
  <c r="P203" i="4"/>
  <c r="O232" i="4"/>
  <c r="P239" i="4"/>
  <c r="P31" i="4"/>
  <c r="O44" i="4"/>
  <c r="O51" i="4"/>
  <c r="P56" i="4"/>
  <c r="O56" i="4"/>
  <c r="P63" i="4"/>
  <c r="O63" i="4"/>
  <c r="P68" i="4"/>
  <c r="O68" i="4"/>
  <c r="P73" i="4"/>
  <c r="O78" i="4"/>
  <c r="P98" i="4"/>
  <c r="O98" i="4"/>
  <c r="P101" i="4"/>
  <c r="P104" i="4"/>
  <c r="O104" i="4"/>
  <c r="O121" i="4"/>
  <c r="P130" i="4"/>
  <c r="O130" i="4"/>
  <c r="P133" i="4"/>
  <c r="P145" i="4"/>
  <c r="O145" i="4"/>
  <c r="P152" i="4"/>
  <c r="O152" i="4"/>
  <c r="O158" i="4"/>
  <c r="P178" i="4"/>
  <c r="O178" i="4"/>
  <c r="P181" i="4"/>
  <c r="O216" i="4"/>
  <c r="P223" i="4"/>
  <c r="O25" i="4"/>
  <c r="O29" i="4"/>
  <c r="P42" i="4"/>
  <c r="P49" i="4"/>
  <c r="O49" i="4"/>
  <c r="O61" i="4"/>
  <c r="P61" i="4"/>
  <c r="P76" i="4"/>
  <c r="P81" i="4"/>
  <c r="O81" i="4"/>
  <c r="O84" i="4"/>
  <c r="P86" i="4"/>
  <c r="P92" i="4"/>
  <c r="P95" i="4"/>
  <c r="O95" i="4"/>
  <c r="O109" i="4"/>
  <c r="P109" i="4"/>
  <c r="P112" i="4"/>
  <c r="O112" i="4"/>
  <c r="P124" i="4"/>
  <c r="O124" i="4"/>
  <c r="P127" i="4"/>
  <c r="O137" i="4"/>
  <c r="O149" i="4"/>
  <c r="P149" i="4"/>
  <c r="O165" i="4"/>
  <c r="P165" i="4"/>
  <c r="O168" i="4"/>
  <c r="P175" i="4"/>
  <c r="P194" i="4"/>
  <c r="O194" i="4"/>
  <c r="O200" i="4"/>
  <c r="P207" i="4"/>
  <c r="O220" i="4"/>
  <c r="P38" i="4"/>
  <c r="P40" i="4"/>
  <c r="O59" i="4"/>
  <c r="O66" i="4"/>
  <c r="O71" i="4"/>
  <c r="P90" i="4"/>
  <c r="O99" i="4"/>
  <c r="P99" i="4"/>
  <c r="P116" i="4"/>
  <c r="O119" i="4"/>
  <c r="O131" i="4"/>
  <c r="P131" i="4"/>
  <c r="P146" i="4"/>
  <c r="O146" i="4"/>
  <c r="P153" i="4"/>
  <c r="P156" i="4"/>
  <c r="P179" i="4"/>
  <c r="P185" i="4"/>
  <c r="O188" i="4"/>
  <c r="P191" i="4"/>
  <c r="O204" i="4"/>
  <c r="O237" i="4"/>
  <c r="P237" i="4"/>
  <c r="P3" i="4"/>
  <c r="P5" i="4"/>
  <c r="O7" i="4"/>
  <c r="P11" i="4"/>
  <c r="P13" i="4"/>
  <c r="O15" i="4"/>
  <c r="P19" i="4"/>
  <c r="O21" i="4"/>
  <c r="P23" i="4"/>
  <c r="O23" i="4"/>
  <c r="O39" i="4"/>
  <c r="P45" i="4"/>
  <c r="P54" i="4"/>
  <c r="P57" i="4"/>
  <c r="O64" i="4"/>
  <c r="O69" i="4"/>
  <c r="P82" i="4"/>
  <c r="O82" i="4"/>
  <c r="P87" i="4"/>
  <c r="O87" i="4"/>
  <c r="O102" i="4"/>
  <c r="O105" i="4"/>
  <c r="P113" i="4"/>
  <c r="O113" i="4"/>
  <c r="O122" i="4"/>
  <c r="O134" i="4"/>
  <c r="P143" i="4"/>
  <c r="O143" i="4"/>
  <c r="O169" i="4"/>
  <c r="O221" i="4"/>
  <c r="P221" i="4"/>
  <c r="O234" i="4"/>
  <c r="O4" i="4"/>
  <c r="O6" i="4"/>
  <c r="P8" i="4"/>
  <c r="O12" i="4"/>
  <c r="O14" i="4"/>
  <c r="P16" i="4"/>
  <c r="O20" i="4"/>
  <c r="P30" i="4"/>
  <c r="O30" i="4"/>
  <c r="P32" i="4"/>
  <c r="O35" i="4"/>
  <c r="O43" i="4"/>
  <c r="P47" i="4"/>
  <c r="O50" i="4"/>
  <c r="O52" i="4"/>
  <c r="P74" i="4"/>
  <c r="P77" i="4"/>
  <c r="P79" i="4"/>
  <c r="O93" i="4"/>
  <c r="P93" i="4"/>
  <c r="P96" i="4"/>
  <c r="O96" i="4"/>
  <c r="P110" i="4"/>
  <c r="O110" i="4"/>
  <c r="O117" i="4"/>
  <c r="P117" i="4"/>
  <c r="P128" i="4"/>
  <c r="O128" i="4"/>
  <c r="O138" i="4"/>
  <c r="O147" i="4"/>
  <c r="P147" i="4"/>
  <c r="P163" i="4"/>
  <c r="O173" i="4"/>
  <c r="P173" i="4"/>
  <c r="O205" i="4"/>
  <c r="P205" i="4"/>
  <c r="O218" i="4"/>
  <c r="O241" i="4"/>
  <c r="P26" i="4"/>
  <c r="P44" i="4"/>
  <c r="P51" i="4"/>
  <c r="P53" i="4"/>
  <c r="P72" i="4"/>
  <c r="P88" i="4"/>
  <c r="O88" i="4"/>
  <c r="O91" i="4"/>
  <c r="P100" i="4"/>
  <c r="P114" i="4"/>
  <c r="O114" i="4"/>
  <c r="O120" i="4"/>
  <c r="P132" i="4"/>
  <c r="O135" i="4"/>
  <c r="O154" i="4"/>
  <c r="P170" i="4"/>
  <c r="O170" i="4"/>
  <c r="P183" i="4"/>
  <c r="P189" i="4"/>
  <c r="O202" i="4"/>
  <c r="O225" i="4"/>
  <c r="P235" i="4"/>
  <c r="P24" i="4"/>
  <c r="P29" i="4"/>
  <c r="O37" i="4"/>
  <c r="P37" i="4"/>
  <c r="O42" i="4"/>
  <c r="O55" i="4"/>
  <c r="P58" i="4"/>
  <c r="O58" i="4"/>
  <c r="P60" i="4"/>
  <c r="O65" i="4"/>
  <c r="P67" i="4"/>
  <c r="P70" i="4"/>
  <c r="O70" i="4"/>
  <c r="P75" i="4"/>
  <c r="O75" i="4"/>
  <c r="P83" i="4"/>
  <c r="O86" i="4"/>
  <c r="O92" i="4"/>
  <c r="P97" i="4"/>
  <c r="O97" i="4"/>
  <c r="O103" i="4"/>
  <c r="O106" i="4"/>
  <c r="P108" i="4"/>
  <c r="P111" i="4"/>
  <c r="O111" i="4"/>
  <c r="O123" i="4"/>
  <c r="O141" i="4"/>
  <c r="P141" i="4"/>
  <c r="P151" i="4"/>
  <c r="P177" i="4"/>
  <c r="O209" i="4"/>
  <c r="P219" i="4"/>
  <c r="O242" i="4"/>
  <c r="O159" i="4"/>
  <c r="P192" i="4"/>
  <c r="P210" i="4"/>
  <c r="P226" i="4"/>
  <c r="O125" i="4"/>
  <c r="P142" i="4"/>
  <c r="P144" i="4"/>
  <c r="O156" i="4"/>
  <c r="O157" i="4"/>
  <c r="P184" i="4"/>
  <c r="P186" i="4"/>
  <c r="P190" i="4"/>
  <c r="P201" i="4"/>
  <c r="P217" i="4"/>
  <c r="P233" i="4"/>
  <c r="P240" i="4"/>
  <c r="P243" i="4"/>
  <c r="O243" i="4"/>
  <c r="P176" i="4"/>
  <c r="P182" i="4"/>
  <c r="O185" i="4"/>
  <c r="O199" i="4"/>
  <c r="P208" i="4"/>
  <c r="O215" i="4"/>
  <c r="P224" i="4"/>
  <c r="O231" i="4"/>
  <c r="O45" i="4"/>
  <c r="P64" i="4"/>
  <c r="O89" i="4"/>
  <c r="O100" i="4"/>
  <c r="O101" i="4"/>
  <c r="P118" i="4"/>
  <c r="P120" i="4"/>
  <c r="O132" i="4"/>
  <c r="O133" i="4"/>
  <c r="P150" i="4"/>
  <c r="P168" i="4"/>
  <c r="P174" i="4"/>
  <c r="O177" i="4"/>
  <c r="O195" i="4"/>
  <c r="P206" i="4"/>
  <c r="O206" i="4"/>
  <c r="O211" i="4"/>
  <c r="P222" i="4"/>
  <c r="O222" i="4"/>
  <c r="O227" i="4"/>
  <c r="P238" i="4"/>
  <c r="O238" i="4"/>
  <c r="P244" i="4"/>
  <c r="O244" i="4"/>
  <c r="O85" i="4"/>
  <c r="O107" i="4"/>
  <c r="O139" i="4"/>
  <c r="O151" i="4"/>
  <c r="O153" i="4"/>
  <c r="P160" i="4"/>
  <c r="P162" i="4"/>
  <c r="P166" i="4"/>
  <c r="O187" i="4"/>
  <c r="O191" i="4"/>
  <c r="O197" i="4"/>
  <c r="P202" i="4"/>
  <c r="O213" i="4"/>
  <c r="P218" i="4"/>
  <c r="O229" i="4"/>
  <c r="P234" i="4"/>
  <c r="P241" i="4"/>
  <c r="P158" i="4"/>
  <c r="O179" i="4"/>
  <c r="O183" i="4"/>
  <c r="O189" i="4"/>
  <c r="P209" i="4"/>
  <c r="P225" i="4"/>
  <c r="P245" i="4"/>
  <c r="O245" i="4"/>
  <c r="O171" i="4"/>
  <c r="O175" i="4"/>
  <c r="O181" i="4"/>
  <c r="P200" i="4"/>
  <c r="O207" i="4"/>
  <c r="P216" i="4"/>
  <c r="O223" i="4"/>
  <c r="P232" i="4"/>
  <c r="O239" i="4"/>
  <c r="O77" i="4"/>
  <c r="P102" i="4"/>
  <c r="P134" i="4"/>
  <c r="O163" i="4"/>
  <c r="O167" i="4"/>
  <c r="P198" i="4"/>
  <c r="O198" i="4"/>
  <c r="O203" i="4"/>
  <c r="P214" i="4"/>
  <c r="O214" i="4"/>
  <c r="O219" i="4"/>
  <c r="P230" i="4"/>
  <c r="O230" i="4"/>
  <c r="O235" i="4"/>
  <c r="P242" i="4"/>
  <c r="P246" i="4"/>
  <c r="O246" i="4"/>
  <c r="O240" i="4"/>
</calcChain>
</file>

<file path=xl/sharedStrings.xml><?xml version="1.0" encoding="utf-8"?>
<sst xmlns="http://schemas.openxmlformats.org/spreadsheetml/2006/main" count="1257" uniqueCount="159">
  <si>
    <t>ID</t>
  </si>
  <si>
    <t>1031</t>
  </si>
  <si>
    <t>949</t>
  </si>
  <si>
    <t>995</t>
  </si>
  <si>
    <t>Angle</t>
  </si>
  <si>
    <t>Power</t>
  </si>
  <si>
    <t>Date</t>
  </si>
  <si>
    <t>2026-01-15</t>
  </si>
  <si>
    <t>2026-01-16</t>
  </si>
  <si>
    <t>2026-01-17</t>
  </si>
  <si>
    <t>AccuracyLaser</t>
  </si>
  <si>
    <t>AccuracyNonLaser</t>
  </si>
  <si>
    <t>OmissionsLaser</t>
  </si>
  <si>
    <t>OmissionsNonLaser</t>
  </si>
  <si>
    <t>LaserReward</t>
  </si>
  <si>
    <t>NonLaserReward</t>
  </si>
  <si>
    <t>LaserTrials</t>
  </si>
  <si>
    <t>NonLaserTrials</t>
  </si>
  <si>
    <t>oLaserPercent</t>
  </si>
  <si>
    <t>oNonLaserPercent</t>
  </si>
  <si>
    <t>LatencyLaser</t>
  </si>
  <si>
    <t>LatencyNonLaser</t>
  </si>
  <si>
    <t>1029R</t>
  </si>
  <si>
    <t>1030R</t>
  </si>
  <si>
    <t>3 masker</t>
  </si>
  <si>
    <t>1031L</t>
  </si>
  <si>
    <t>1034R</t>
  </si>
  <si>
    <t>5 masker</t>
  </si>
  <si>
    <t>948L</t>
  </si>
  <si>
    <t>949R</t>
  </si>
  <si>
    <t>10 masker</t>
  </si>
  <si>
    <t>950L</t>
  </si>
  <si>
    <t>994R</t>
  </si>
  <si>
    <t>995L</t>
  </si>
  <si>
    <t>1029</t>
  </si>
  <si>
    <t>1030</t>
  </si>
  <si>
    <t>1034</t>
  </si>
  <si>
    <t>9450L</t>
  </si>
  <si>
    <t>950</t>
  </si>
  <si>
    <t>994</t>
  </si>
  <si>
    <t>2025-11-22</t>
  </si>
  <si>
    <t>2025-11-23</t>
  </si>
  <si>
    <t>2025-11-24</t>
  </si>
  <si>
    <t>2025-12-12</t>
  </si>
  <si>
    <t>2025-12-13</t>
  </si>
  <si>
    <t>2025-12-15</t>
  </si>
  <si>
    <t>2025-12-16</t>
  </si>
  <si>
    <t>2025-12-17</t>
  </si>
  <si>
    <t>2025-12-18</t>
  </si>
  <si>
    <t>2025-12-30</t>
  </si>
  <si>
    <t>2025-12-31</t>
  </si>
  <si>
    <t>2026-01-07</t>
  </si>
  <si>
    <t>2026-01-08</t>
  </si>
  <si>
    <t>2026-01-09</t>
  </si>
  <si>
    <t>2026-01-10</t>
  </si>
  <si>
    <t>2026-01-22</t>
  </si>
  <si>
    <t>2026-01-23</t>
  </si>
  <si>
    <t>2026-01-29</t>
  </si>
  <si>
    <t>2026-01-30</t>
  </si>
  <si>
    <t>2026-01-31</t>
  </si>
  <si>
    <t>2025-10-15</t>
  </si>
  <si>
    <t>2025-10-16</t>
  </si>
  <si>
    <t>2025-10-17</t>
  </si>
  <si>
    <t>2025-10-18</t>
  </si>
  <si>
    <t>2025-10-25</t>
  </si>
  <si>
    <t>2025-10-26</t>
  </si>
  <si>
    <t>2025-10-27</t>
  </si>
  <si>
    <t>2025-10-28</t>
  </si>
  <si>
    <t>2025-11-03</t>
  </si>
  <si>
    <t>2025-11-04</t>
  </si>
  <si>
    <t>2025-11-05</t>
  </si>
  <si>
    <t>2026-01-11</t>
  </si>
  <si>
    <t>2026-02-02</t>
  </si>
  <si>
    <t>2026-02-03</t>
  </si>
  <si>
    <t>2026-02-04</t>
  </si>
  <si>
    <t>2026-02-05</t>
  </si>
  <si>
    <t>2025-10-22</t>
  </si>
  <si>
    <t>2025-10-23</t>
  </si>
  <si>
    <t>2025-10-24</t>
  </si>
  <si>
    <t>2025-10-29</t>
  </si>
  <si>
    <t>2025-10-30</t>
  </si>
  <si>
    <t>2025-11-01</t>
  </si>
  <si>
    <t>2025-11-06</t>
  </si>
  <si>
    <t>2025-11-07</t>
  </si>
  <si>
    <t>2025-11-08</t>
  </si>
  <si>
    <t>2026-01-13</t>
  </si>
  <si>
    <t>2026-01-14</t>
  </si>
  <si>
    <t>2025-08-18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</si>
  <si>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</si>
  <si>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</si>
  <si>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</si>
  <si>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</si>
  <si>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</si>
  <si>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</si>
  <si>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</si>
  <si>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</si>
  <si>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</si>
  <si>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</si>
  <si>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</si>
  <si>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</si>
  <si>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</si>
  <si>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</si>
  <si>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</si>
  <si>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</si>
  <si>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</si>
  <si>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</si>
  <si>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</si>
  <si>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</si>
  <si>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</si>
  <si>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</si>
  <si>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</si>
  <si>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</si>
  <si>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</si>
  <si>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2025-08-19</t>
  </si>
  <si>
    <t>2025-08-20</t>
  </si>
  <si>
    <t>2025-08-21</t>
  </si>
  <si>
    <t>2025-08-22</t>
  </si>
  <si>
    <t>2025-08-27</t>
  </si>
  <si>
    <t>2025-08-28</t>
  </si>
  <si>
    <t>2025-09-21</t>
  </si>
  <si>
    <t>2025-09-23</t>
  </si>
  <si>
    <t>2025-11-21</t>
  </si>
  <si>
    <t>2025-11-25</t>
  </si>
  <si>
    <t>2025-12-04</t>
  </si>
  <si>
    <t>2025-10-12</t>
  </si>
  <si>
    <t>2025-11-10</t>
  </si>
  <si>
    <t>2026-01-12</t>
  </si>
  <si>
    <t>2025-08-29</t>
  </si>
  <si>
    <t>2025-09-09</t>
  </si>
  <si>
    <t>2025-09-10</t>
  </si>
  <si>
    <t>2025-09-11</t>
  </si>
  <si>
    <t>2025-10-19</t>
  </si>
  <si>
    <t>2026-01-02</t>
  </si>
  <si>
    <t>SEARCH</t>
  </si>
  <si>
    <t>CleanID</t>
  </si>
  <si>
    <t>With CleanID &amp; Search:</t>
  </si>
  <si>
    <t>Old:</t>
  </si>
  <si>
    <t>Angle Formula: =XLOOKUP(A2 &amp; D2, AnglePowerMatching!A:A &amp; AnglePowerMatching!B:B, AnglePowerMatching!C:C, "Not Found")</t>
  </si>
  <si>
    <t>Power  Formula: =XLOOKUP(A2 &amp; D2, AnglePowerMatching!A:A &amp; AnglePowerMatching!B:B, AnglePowerMatching!D:D, "Not Found")</t>
  </si>
  <si>
    <t>2025-11-11</t>
  </si>
  <si>
    <t>2025-11-12</t>
  </si>
  <si>
    <t>2025-11-17</t>
  </si>
  <si>
    <t>2025-11-18</t>
  </si>
  <si>
    <t>2025-11-19</t>
  </si>
  <si>
    <t>2025-11-13</t>
  </si>
  <si>
    <t>2025-11-14</t>
  </si>
  <si>
    <t>2025-09-28</t>
  </si>
  <si>
    <t>2025-09-29</t>
  </si>
  <si>
    <t>2025-09-30</t>
  </si>
  <si>
    <t>2025-10-07</t>
  </si>
  <si>
    <t>2025-10-09</t>
  </si>
  <si>
    <t>2025-11-15</t>
  </si>
  <si>
    <t>2025-11-20</t>
  </si>
  <si>
    <t>Not updated (excludes new data files)</t>
  </si>
  <si>
    <t>Angle Formula: =XLOOKUP(S2, AnglePowerMatching!$H:$H, AnglePowerMatching!$C:$C, "NaN")</t>
  </si>
  <si>
    <t>Power Formula: =XLOOKUP(S2, AnglePowerMatching!$H:$H, AnglePowerMatching!$D:$D, "NaN")</t>
  </si>
  <si>
    <t>Visualize</t>
  </si>
  <si>
    <t>Visualize: =NOT(OR(C2=0,D2=0))</t>
  </si>
  <si>
    <t>900L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</si>
</sst>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7"/>
  <sheetViews>
    <sheetView tabSelected="1" zoomScale="66" workbookViewId="0">
      <selection activeCell="Q2" sqref="Q2"/>
    </sheetView>
  </sheetViews>
  <sheetFormatPr defaultRowHeight="14.4" x14ac:dyDescent="0.3"/>
  <cols>
    <col min="1" max="1" width="5.88671875" customWidth="1"/>
    <col min="2" max="2" width="10.33203125" customWidth="1"/>
    <col min="3" max="3" width="12.6640625" customWidth="1"/>
    <col min="4" max="4" width="16.109375" customWidth="1"/>
    <col min="5" max="5" width="13.5546875" customWidth="1"/>
    <col min="6" max="6" width="17" customWidth="1"/>
    <col min="7" max="7" width="11.5546875" customWidth="1"/>
    <col min="8" max="8" width="15" customWidth="1"/>
    <col min="9" max="9" width="9.6640625" customWidth="1"/>
    <col min="10" max="10" width="13.109375" customWidth="1"/>
    <col min="11" max="11" width="12.6640625" customWidth="1"/>
    <col min="12" max="12" width="16.109375" customWidth="1"/>
    <col min="13" max="13" width="12.5546875" customWidth="1"/>
    <col min="14" max="14" width="15.109375" customWidth="1"/>
  </cols>
  <sheetData>
    <row r="1" spans="1:19" x14ac:dyDescent="0.3">
      <c r="A1" t="s">
        <v>0</v>
      </c>
      <c r="B1" t="s">
        <v>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4</v>
      </c>
      <c r="P1" t="s">
        <v>5</v>
      </c>
      <c r="Q1" t="s">
        <v>156</v>
      </c>
      <c r="R1" t="s">
        <v>134</v>
      </c>
      <c r="S1" t="s">
        <v>133</v>
      </c>
    </row>
    <row r="2" spans="1:19" x14ac:dyDescent="0.3">
      <c r="A2" t="s">
        <v>34</v>
      </c>
      <c r="B2" t="s">
        <v>40</v>
      </c>
      <c r="C2">
        <v>54.166666666666664</v>
      </c>
      <c r="D2">
        <v>55.000000000000007</v>
      </c>
      <c r="E2">
        <v>0</v>
      </c>
      <c r="F2">
        <v>0</v>
      </c>
      <c r="G2">
        <v>65</v>
      </c>
      <c r="H2">
        <v>66</v>
      </c>
      <c r="I2">
        <v>120</v>
      </c>
      <c r="J2">
        <v>120</v>
      </c>
      <c r="K2">
        <v>0</v>
      </c>
      <c r="L2">
        <v>0</v>
      </c>
      <c r="M2">
        <v>0.18281538461538793</v>
      </c>
      <c r="N2">
        <v>0.19430303030302487</v>
      </c>
      <c r="O2">
        <f>_xlfn.XLOOKUP(S2, AnglePowerMatching!$H:$H, AnglePowerMatching!$C:$C, "NaN")</f>
        <v>66</v>
      </c>
      <c r="P2">
        <f>_xlfn.XLOOKUP(S2, AnglePowerMatching!$H:$H, AnglePowerMatching!$D:$D, "NaN")</f>
        <v>3</v>
      </c>
      <c r="Q2" t="b">
        <f>NOT(OR(C2=0,D2=0))</f>
        <v>1</v>
      </c>
      <c r="R2">
        <f>VALUE(_xlfn.TEXTBEFORE(A2, {"L","R"}, , , , A2))</f>
        <v>1029</v>
      </c>
      <c r="S2" t="str">
        <f t="shared" ref="S2:S65" si="0">R2 &amp; TEXT(B2, "yyyymmdd")</f>
        <v>102920251122</v>
      </c>
    </row>
    <row r="3" spans="1:19" x14ac:dyDescent="0.3">
      <c r="A3" t="s">
        <v>34</v>
      </c>
      <c r="B3" t="s">
        <v>41</v>
      </c>
      <c r="C3">
        <v>53.333333333333336</v>
      </c>
      <c r="D3">
        <v>51.666666666666671</v>
      </c>
      <c r="E3">
        <v>0</v>
      </c>
      <c r="F3">
        <v>0</v>
      </c>
      <c r="G3">
        <v>64</v>
      </c>
      <c r="H3">
        <v>62</v>
      </c>
      <c r="I3">
        <v>120</v>
      </c>
      <c r="J3">
        <v>120</v>
      </c>
      <c r="K3">
        <v>0</v>
      </c>
      <c r="L3">
        <v>0</v>
      </c>
      <c r="M3">
        <v>0.27225000000000155</v>
      </c>
      <c r="N3">
        <v>0.28053225806452403</v>
      </c>
      <c r="O3">
        <f>_xlfn.XLOOKUP(S3, AnglePowerMatching!$H:$H, AnglePowerMatching!$C:$C, "NaN")</f>
        <v>66</v>
      </c>
      <c r="P3">
        <f>_xlfn.XLOOKUP(S3, AnglePowerMatching!$H:$H, AnglePowerMatching!$D:$D, "NaN")</f>
        <v>5</v>
      </c>
      <c r="Q3" t="b">
        <f t="shared" ref="Q3:Q66" si="1">NOT(OR(C3=0,D3=0))</f>
        <v>1</v>
      </c>
      <c r="R3">
        <f>VALUE(_xlfn.TEXTBEFORE(A3, {"L","R"}, , , , A3))</f>
        <v>1029</v>
      </c>
      <c r="S3" t="str">
        <f t="shared" si="0"/>
        <v>102920251123</v>
      </c>
    </row>
    <row r="4" spans="1:19" x14ac:dyDescent="0.3">
      <c r="A4" t="s">
        <v>34</v>
      </c>
      <c r="B4" t="s">
        <v>42</v>
      </c>
      <c r="C4">
        <v>51.666666666666671</v>
      </c>
      <c r="D4">
        <v>46.666666666666664</v>
      </c>
      <c r="E4">
        <v>0</v>
      </c>
      <c r="F4">
        <v>0</v>
      </c>
      <c r="G4">
        <v>62</v>
      </c>
      <c r="H4">
        <v>56</v>
      </c>
      <c r="I4">
        <v>120</v>
      </c>
      <c r="J4">
        <v>120</v>
      </c>
      <c r="K4">
        <v>0</v>
      </c>
      <c r="L4">
        <v>0</v>
      </c>
      <c r="M4">
        <v>0.29008064516130766</v>
      </c>
      <c r="N4">
        <v>0.20426785714284607</v>
      </c>
      <c r="O4">
        <f>_xlfn.XLOOKUP(S4, AnglePowerMatching!$H:$H, AnglePowerMatching!$C:$C, "NaN")</f>
        <v>66</v>
      </c>
      <c r="P4">
        <f>_xlfn.XLOOKUP(S4, AnglePowerMatching!$H:$H, AnglePowerMatching!$D:$D, "NaN")</f>
        <v>10</v>
      </c>
      <c r="Q4" t="b">
        <f t="shared" si="1"/>
        <v>1</v>
      </c>
      <c r="R4">
        <f>VALUE(_xlfn.TEXTBEFORE(A4, {"L","R"}, , , , A4))</f>
        <v>1029</v>
      </c>
      <c r="S4" t="str">
        <f t="shared" si="0"/>
        <v>102920251124</v>
      </c>
    </row>
    <row r="5" spans="1:19" x14ac:dyDescent="0.3">
      <c r="A5" t="s">
        <v>34</v>
      </c>
      <c r="B5" t="s">
        <v>43</v>
      </c>
      <c r="C5">
        <v>65.833333333333329</v>
      </c>
      <c r="D5">
        <v>65.833333333333329</v>
      </c>
      <c r="E5">
        <v>0</v>
      </c>
      <c r="F5">
        <v>0</v>
      </c>
      <c r="G5">
        <v>79</v>
      </c>
      <c r="H5">
        <v>79</v>
      </c>
      <c r="I5">
        <v>120</v>
      </c>
      <c r="J5">
        <v>120</v>
      </c>
      <c r="K5">
        <v>0</v>
      </c>
      <c r="L5">
        <v>0</v>
      </c>
      <c r="M5">
        <v>0.26475949367087354</v>
      </c>
      <c r="N5">
        <v>0.24287341772152399</v>
      </c>
      <c r="O5">
        <f>_xlfn.XLOOKUP(S5, AnglePowerMatching!$H:$H, AnglePowerMatching!$C:$C, "NaN")</f>
        <v>90</v>
      </c>
      <c r="P5">
        <f>_xlfn.XLOOKUP(S5, AnglePowerMatching!$H:$H, AnglePowerMatching!$D:$D, "NaN")</f>
        <v>3</v>
      </c>
      <c r="Q5" t="b">
        <f t="shared" si="1"/>
        <v>1</v>
      </c>
      <c r="R5">
        <f>VALUE(_xlfn.TEXTBEFORE(A5, {"L","R"}, , , , A5))</f>
        <v>1029</v>
      </c>
      <c r="S5" t="str">
        <f t="shared" si="0"/>
        <v>102920251212</v>
      </c>
    </row>
    <row r="6" spans="1:19" x14ac:dyDescent="0.3">
      <c r="A6" t="s">
        <v>34</v>
      </c>
      <c r="B6" t="s">
        <v>44</v>
      </c>
      <c r="C6">
        <v>82.5</v>
      </c>
      <c r="D6">
        <v>86.419753086419746</v>
      </c>
      <c r="E6">
        <v>40</v>
      </c>
      <c r="F6">
        <v>39</v>
      </c>
      <c r="G6">
        <v>66</v>
      </c>
      <c r="H6">
        <v>70</v>
      </c>
      <c r="I6">
        <v>120</v>
      </c>
      <c r="J6">
        <v>120</v>
      </c>
      <c r="K6">
        <v>33.333333333333329</v>
      </c>
      <c r="L6">
        <v>32.5</v>
      </c>
      <c r="M6">
        <v>0.42874242424243453</v>
      </c>
      <c r="N6">
        <v>0.34355714285715838</v>
      </c>
      <c r="O6">
        <f>_xlfn.XLOOKUP(S6, AnglePowerMatching!$H:$H, AnglePowerMatching!$C:$C, "NaN")</f>
        <v>90</v>
      </c>
      <c r="P6">
        <f>_xlfn.XLOOKUP(S6, AnglePowerMatching!$H:$H, AnglePowerMatching!$D:$D, "NaN")</f>
        <v>5</v>
      </c>
      <c r="Q6" t="b">
        <f t="shared" si="1"/>
        <v>1</v>
      </c>
      <c r="R6">
        <f>VALUE(_xlfn.TEXTBEFORE(A6, {"L","R"}, , , , A6))</f>
        <v>1029</v>
      </c>
      <c r="S6" t="str">
        <f t="shared" si="0"/>
        <v>102920251213</v>
      </c>
    </row>
    <row r="7" spans="1:19" x14ac:dyDescent="0.3">
      <c r="A7" t="s">
        <v>34</v>
      </c>
      <c r="B7" t="s">
        <v>45</v>
      </c>
      <c r="C7">
        <v>81.034482758620683</v>
      </c>
      <c r="D7">
        <v>70.175438596491219</v>
      </c>
      <c r="E7">
        <v>62</v>
      </c>
      <c r="F7">
        <v>63</v>
      </c>
      <c r="G7">
        <v>47</v>
      </c>
      <c r="H7">
        <v>40</v>
      </c>
      <c r="I7">
        <v>120</v>
      </c>
      <c r="J7">
        <v>120</v>
      </c>
      <c r="K7">
        <v>51.666666666666671</v>
      </c>
      <c r="L7">
        <v>52.5</v>
      </c>
      <c r="M7">
        <v>0.96259574468083997</v>
      </c>
      <c r="N7">
        <v>0.9584999999999877</v>
      </c>
      <c r="O7">
        <f>_xlfn.XLOOKUP(S7, AnglePowerMatching!$H:$H, AnglePowerMatching!$C:$C, "NaN")</f>
        <v>90</v>
      </c>
      <c r="P7">
        <f>_xlfn.XLOOKUP(S7, AnglePowerMatching!$H:$H, AnglePowerMatching!$D:$D, "NaN")</f>
        <v>10</v>
      </c>
      <c r="Q7" t="b">
        <f t="shared" si="1"/>
        <v>1</v>
      </c>
      <c r="R7">
        <f>VALUE(_xlfn.TEXTBEFORE(A7, {"L","R"}, , , , A7))</f>
        <v>1029</v>
      </c>
      <c r="S7" t="str">
        <f t="shared" si="0"/>
        <v>102920251215</v>
      </c>
    </row>
    <row r="8" spans="1:19" x14ac:dyDescent="0.3">
      <c r="A8" t="s">
        <v>34</v>
      </c>
      <c r="B8" t="s">
        <v>46</v>
      </c>
      <c r="C8">
        <v>36.595744680851062</v>
      </c>
      <c r="D8">
        <v>36.820083682008367</v>
      </c>
      <c r="E8">
        <v>5</v>
      </c>
      <c r="F8">
        <v>1</v>
      </c>
      <c r="G8">
        <v>86</v>
      </c>
      <c r="H8">
        <v>88</v>
      </c>
      <c r="I8">
        <v>240</v>
      </c>
      <c r="J8">
        <v>240</v>
      </c>
      <c r="K8">
        <v>2.083333333333333</v>
      </c>
      <c r="L8">
        <v>0.41666666666666669</v>
      </c>
      <c r="M8">
        <v>0.30010465116278584</v>
      </c>
      <c r="N8">
        <v>0.2843181818181893</v>
      </c>
      <c r="O8">
        <f>_xlfn.XLOOKUP(S8, AnglePowerMatching!$H:$H, AnglePowerMatching!$C:$C, "NaN")</f>
        <v>90</v>
      </c>
      <c r="P8">
        <f>_xlfn.XLOOKUP(S8, AnglePowerMatching!$H:$H, AnglePowerMatching!$D:$D, "NaN")</f>
        <v>10</v>
      </c>
      <c r="Q8" t="b">
        <f t="shared" si="1"/>
        <v>1</v>
      </c>
      <c r="R8">
        <f>VALUE(_xlfn.TEXTBEFORE(A8, {"L","R"}, , , , A8))</f>
        <v>1029</v>
      </c>
      <c r="S8" t="str">
        <f t="shared" si="0"/>
        <v>102920251216</v>
      </c>
    </row>
    <row r="9" spans="1:19" x14ac:dyDescent="0.3">
      <c r="A9" t="s">
        <v>34</v>
      </c>
      <c r="B9" t="s">
        <v>47</v>
      </c>
      <c r="C9">
        <v>64.285714285714292</v>
      </c>
      <c r="D9">
        <v>65.789473684210535</v>
      </c>
      <c r="E9">
        <v>12</v>
      </c>
      <c r="F9">
        <v>11</v>
      </c>
      <c r="G9">
        <v>72</v>
      </c>
      <c r="H9">
        <v>75</v>
      </c>
      <c r="I9">
        <v>124</v>
      </c>
      <c r="J9">
        <v>125</v>
      </c>
      <c r="K9">
        <v>9.67741935483871</v>
      </c>
      <c r="L9">
        <v>8.7999999999999989</v>
      </c>
      <c r="M9">
        <v>0.29847222222222758</v>
      </c>
      <c r="N9">
        <v>0.25242666666666075</v>
      </c>
      <c r="O9">
        <f>_xlfn.XLOOKUP(S9, AnglePowerMatching!$H:$H, AnglePowerMatching!$C:$C, "NaN")</f>
        <v>90</v>
      </c>
      <c r="P9">
        <f>_xlfn.XLOOKUP(S9, AnglePowerMatching!$H:$H, AnglePowerMatching!$D:$D, "NaN")</f>
        <v>10</v>
      </c>
      <c r="Q9" t="b">
        <f t="shared" si="1"/>
        <v>1</v>
      </c>
      <c r="R9">
        <f>VALUE(_xlfn.TEXTBEFORE(A9, {"L","R"}, , , , A9))</f>
        <v>1029</v>
      </c>
      <c r="S9" t="str">
        <f t="shared" si="0"/>
        <v>102920251217</v>
      </c>
    </row>
    <row r="10" spans="1:19" x14ac:dyDescent="0.3">
      <c r="A10" t="s">
        <v>34</v>
      </c>
      <c r="B10" t="s">
        <v>48</v>
      </c>
      <c r="C10">
        <v>62.608695652173921</v>
      </c>
      <c r="D10">
        <v>55.555555555555557</v>
      </c>
      <c r="E10">
        <v>5</v>
      </c>
      <c r="F10">
        <v>3</v>
      </c>
      <c r="G10">
        <v>72</v>
      </c>
      <c r="H10">
        <v>65</v>
      </c>
      <c r="I10">
        <v>120</v>
      </c>
      <c r="J10">
        <v>120</v>
      </c>
      <c r="K10">
        <v>4.1666666666666661</v>
      </c>
      <c r="L10">
        <v>2.5</v>
      </c>
      <c r="M10">
        <v>0.26394444444445392</v>
      </c>
      <c r="N10">
        <v>0.23587692307691632</v>
      </c>
      <c r="O10">
        <f>_xlfn.XLOOKUP(S10, AnglePowerMatching!$H:$H, AnglePowerMatching!$C:$C, "NaN")</f>
        <v>90</v>
      </c>
      <c r="P10">
        <f>_xlfn.XLOOKUP(S10, AnglePowerMatching!$H:$H, AnglePowerMatching!$D:$D, "NaN")</f>
        <v>5</v>
      </c>
      <c r="Q10" t="b">
        <f t="shared" si="1"/>
        <v>1</v>
      </c>
      <c r="R10">
        <f>VALUE(_xlfn.TEXTBEFORE(A10, {"L","R"}, , , , A10))</f>
        <v>1029</v>
      </c>
      <c r="S10" t="str">
        <f t="shared" si="0"/>
        <v>102920251218</v>
      </c>
    </row>
    <row r="11" spans="1:19" x14ac:dyDescent="0.3">
      <c r="A11" t="s">
        <v>34</v>
      </c>
      <c r="B11" t="s">
        <v>49</v>
      </c>
      <c r="C11">
        <v>60.504201680672267</v>
      </c>
      <c r="D11">
        <v>62.280701754385973</v>
      </c>
      <c r="E11">
        <v>1</v>
      </c>
      <c r="F11">
        <v>6</v>
      </c>
      <c r="G11">
        <v>72</v>
      </c>
      <c r="H11">
        <v>71</v>
      </c>
      <c r="I11">
        <v>120</v>
      </c>
      <c r="J11">
        <v>120</v>
      </c>
      <c r="K11">
        <v>0.83333333333333337</v>
      </c>
      <c r="L11">
        <v>5</v>
      </c>
      <c r="M11">
        <v>0.28647222222223362</v>
      </c>
      <c r="N11">
        <v>0.26454929577464642</v>
      </c>
      <c r="O11">
        <f>_xlfn.XLOOKUP(S11, AnglePowerMatching!$H:$H, AnglePowerMatching!$C:$C, "NaN")</f>
        <v>90</v>
      </c>
      <c r="P11">
        <f>_xlfn.XLOOKUP(S11, AnglePowerMatching!$H:$H, AnglePowerMatching!$D:$D, "NaN")</f>
        <v>10</v>
      </c>
      <c r="Q11" t="b">
        <f t="shared" si="1"/>
        <v>1</v>
      </c>
      <c r="R11">
        <f>VALUE(_xlfn.TEXTBEFORE(A11, {"L","R"}, , , , A11))</f>
        <v>1029</v>
      </c>
      <c r="S11" t="str">
        <f t="shared" si="0"/>
        <v>102920251230</v>
      </c>
    </row>
    <row r="12" spans="1:19" x14ac:dyDescent="0.3">
      <c r="A12" t="s">
        <v>34</v>
      </c>
      <c r="B12" t="s">
        <v>50</v>
      </c>
      <c r="C12">
        <v>73.68421052631578</v>
      </c>
      <c r="D12">
        <v>76.229508196721312</v>
      </c>
      <c r="E12">
        <v>22</v>
      </c>
      <c r="F12">
        <v>14</v>
      </c>
      <c r="G12">
        <v>84</v>
      </c>
      <c r="H12">
        <v>93</v>
      </c>
      <c r="I12">
        <v>136</v>
      </c>
      <c r="J12">
        <v>136</v>
      </c>
      <c r="K12">
        <v>16.176470588235293</v>
      </c>
      <c r="L12">
        <v>10.294117647058822</v>
      </c>
      <c r="M12">
        <v>0.28832142857142662</v>
      </c>
      <c r="N12">
        <v>0.27991397849462574</v>
      </c>
      <c r="O12">
        <f>_xlfn.XLOOKUP(S12, AnglePowerMatching!$H:$H, AnglePowerMatching!$C:$C, "NaN")</f>
        <v>90</v>
      </c>
      <c r="P12">
        <f>_xlfn.XLOOKUP(S12, AnglePowerMatching!$H:$H, AnglePowerMatching!$D:$D, "NaN")</f>
        <v>5</v>
      </c>
      <c r="Q12" t="b">
        <f t="shared" si="1"/>
        <v>1</v>
      </c>
      <c r="R12">
        <f>VALUE(_xlfn.TEXTBEFORE(A12, {"L","R"}, , , , A12))</f>
        <v>1029</v>
      </c>
      <c r="S12" t="str">
        <f t="shared" si="0"/>
        <v>102920251231</v>
      </c>
    </row>
    <row r="13" spans="1:19" x14ac:dyDescent="0.3">
      <c r="A13" t="s">
        <v>34</v>
      </c>
      <c r="B13" t="s">
        <v>51</v>
      </c>
      <c r="C13">
        <v>55.833333333333336</v>
      </c>
      <c r="D13">
        <v>51.260504201680668</v>
      </c>
      <c r="E13">
        <v>0</v>
      </c>
      <c r="F13">
        <v>1</v>
      </c>
      <c r="G13">
        <v>67</v>
      </c>
      <c r="H13">
        <v>61</v>
      </c>
      <c r="I13">
        <v>120</v>
      </c>
      <c r="J13">
        <v>120</v>
      </c>
      <c r="K13">
        <v>0</v>
      </c>
      <c r="L13">
        <v>0.83333333333333337</v>
      </c>
      <c r="M13">
        <v>0.31301492537313502</v>
      </c>
      <c r="N13">
        <v>0.26309836065573888</v>
      </c>
      <c r="O13">
        <f>_xlfn.XLOOKUP(S13, AnglePowerMatching!$H:$H, AnglePowerMatching!$C:$C, "NaN")</f>
        <v>35</v>
      </c>
      <c r="P13">
        <f>_xlfn.XLOOKUP(S13, AnglePowerMatching!$H:$H, AnglePowerMatching!$D:$D, "NaN")</f>
        <v>3</v>
      </c>
      <c r="Q13" t="b">
        <f t="shared" si="1"/>
        <v>1</v>
      </c>
      <c r="R13">
        <f>VALUE(_xlfn.TEXTBEFORE(A13, {"L","R"}, , , , A13))</f>
        <v>1029</v>
      </c>
      <c r="S13" t="str">
        <f t="shared" si="0"/>
        <v>102920260107</v>
      </c>
    </row>
    <row r="14" spans="1:19" x14ac:dyDescent="0.3">
      <c r="A14" t="s">
        <v>34</v>
      </c>
      <c r="B14" t="s">
        <v>52</v>
      </c>
      <c r="C14">
        <v>57.499999999999993</v>
      </c>
      <c r="D14">
        <v>65</v>
      </c>
      <c r="E14">
        <v>0</v>
      </c>
      <c r="F14">
        <v>0</v>
      </c>
      <c r="G14">
        <v>69</v>
      </c>
      <c r="H14">
        <v>78</v>
      </c>
      <c r="I14">
        <v>120</v>
      </c>
      <c r="J14">
        <v>120</v>
      </c>
      <c r="K14">
        <v>0</v>
      </c>
      <c r="L14">
        <v>0</v>
      </c>
      <c r="M14">
        <v>0.25897101449275672</v>
      </c>
      <c r="N14">
        <v>0.22925641025642668</v>
      </c>
      <c r="O14">
        <f>_xlfn.XLOOKUP(S14, AnglePowerMatching!$H:$H, AnglePowerMatching!$C:$C, "NaN")</f>
        <v>35</v>
      </c>
      <c r="P14">
        <f>_xlfn.XLOOKUP(S14, AnglePowerMatching!$H:$H, AnglePowerMatching!$D:$D, "NaN")</f>
        <v>5</v>
      </c>
      <c r="Q14" t="b">
        <f t="shared" si="1"/>
        <v>1</v>
      </c>
      <c r="R14">
        <f>VALUE(_xlfn.TEXTBEFORE(A14, {"L","R"}, , , , A14))</f>
        <v>1029</v>
      </c>
      <c r="S14" t="str">
        <f t="shared" si="0"/>
        <v>102920260108</v>
      </c>
    </row>
    <row r="15" spans="1:19" x14ac:dyDescent="0.3">
      <c r="A15" t="s">
        <v>34</v>
      </c>
      <c r="B15" t="s">
        <v>53</v>
      </c>
      <c r="C15">
        <v>64.65517241379311</v>
      </c>
      <c r="D15">
        <v>60.869565217391312</v>
      </c>
      <c r="E15">
        <v>4</v>
      </c>
      <c r="F15">
        <v>5</v>
      </c>
      <c r="G15">
        <v>75</v>
      </c>
      <c r="H15">
        <v>70</v>
      </c>
      <c r="I15">
        <v>120</v>
      </c>
      <c r="J15">
        <v>120</v>
      </c>
      <c r="K15">
        <v>3.3333333333333335</v>
      </c>
      <c r="L15">
        <v>4.1666666666666661</v>
      </c>
      <c r="M15">
        <v>0.28380000000000588</v>
      </c>
      <c r="N15">
        <v>0.31771428571428678</v>
      </c>
      <c r="O15">
        <f>_xlfn.XLOOKUP(S15, AnglePowerMatching!$H:$H, AnglePowerMatching!$C:$C, "NaN")</f>
        <v>35</v>
      </c>
      <c r="P15">
        <f>_xlfn.XLOOKUP(S15, AnglePowerMatching!$H:$H, AnglePowerMatching!$D:$D, "NaN")</f>
        <v>10</v>
      </c>
      <c r="Q15" t="b">
        <f t="shared" si="1"/>
        <v>1</v>
      </c>
      <c r="R15">
        <f>VALUE(_xlfn.TEXTBEFORE(A15, {"L","R"}, , , , A15))</f>
        <v>1029</v>
      </c>
      <c r="S15" t="str">
        <f t="shared" si="0"/>
        <v>102920260109</v>
      </c>
    </row>
    <row r="16" spans="1:19" x14ac:dyDescent="0.3">
      <c r="A16" t="s">
        <v>34</v>
      </c>
      <c r="B16" t="s">
        <v>54</v>
      </c>
      <c r="C16">
        <v>65</v>
      </c>
      <c r="D16">
        <v>63.02521008403361</v>
      </c>
      <c r="E16">
        <v>0</v>
      </c>
      <c r="F16">
        <v>1</v>
      </c>
      <c r="G16">
        <v>78</v>
      </c>
      <c r="H16">
        <v>75</v>
      </c>
      <c r="I16">
        <v>120</v>
      </c>
      <c r="J16">
        <v>120</v>
      </c>
      <c r="K16">
        <v>0</v>
      </c>
      <c r="L16">
        <v>0.83333333333333337</v>
      </c>
      <c r="M16">
        <v>0.2606410256410242</v>
      </c>
      <c r="N16">
        <v>0.25354666666666464</v>
      </c>
      <c r="O16">
        <f>_xlfn.XLOOKUP(S16, AnglePowerMatching!$H:$H, AnglePowerMatching!$C:$C, "NaN")</f>
        <v>35</v>
      </c>
      <c r="P16">
        <f>_xlfn.XLOOKUP(S16, AnglePowerMatching!$H:$H, AnglePowerMatching!$D:$D, "NaN")</f>
        <v>10</v>
      </c>
      <c r="Q16" t="b">
        <f t="shared" si="1"/>
        <v>1</v>
      </c>
      <c r="R16">
        <f>VALUE(_xlfn.TEXTBEFORE(A16, {"L","R"}, , , , A16))</f>
        <v>1029</v>
      </c>
      <c r="S16" t="str">
        <f t="shared" si="0"/>
        <v>102920260110</v>
      </c>
    </row>
    <row r="17" spans="1:19" x14ac:dyDescent="0.3">
      <c r="A17" t="s">
        <v>34</v>
      </c>
      <c r="B17" t="s">
        <v>55</v>
      </c>
      <c r="C17">
        <v>66.304347826086953</v>
      </c>
      <c r="D17">
        <v>63.265306122448983</v>
      </c>
      <c r="E17">
        <v>28</v>
      </c>
      <c r="F17">
        <v>22</v>
      </c>
      <c r="G17">
        <v>61</v>
      </c>
      <c r="H17">
        <v>62</v>
      </c>
      <c r="I17">
        <v>120</v>
      </c>
      <c r="J17">
        <v>120</v>
      </c>
      <c r="K17">
        <v>23.333333333333332</v>
      </c>
      <c r="L17">
        <v>18.333333333333332</v>
      </c>
      <c r="M17">
        <v>0.41016393442623544</v>
      </c>
      <c r="N17">
        <v>0.36191935483872056</v>
      </c>
      <c r="O17">
        <f>_xlfn.XLOOKUP(S17, AnglePowerMatching!$H:$H, AnglePowerMatching!$C:$C, "NaN")</f>
        <v>26</v>
      </c>
      <c r="P17">
        <f>_xlfn.XLOOKUP(S17, AnglePowerMatching!$H:$H, AnglePowerMatching!$D:$D, "NaN")</f>
        <v>3</v>
      </c>
      <c r="Q17" t="b">
        <f t="shared" si="1"/>
        <v>1</v>
      </c>
      <c r="R17">
        <f>VALUE(_xlfn.TEXTBEFORE(A17, {"L","R"}, , , , A17))</f>
        <v>1029</v>
      </c>
      <c r="S17" t="str">
        <f t="shared" si="0"/>
        <v>102920260122</v>
      </c>
    </row>
    <row r="18" spans="1:19" x14ac:dyDescent="0.3">
      <c r="A18" t="s">
        <v>34</v>
      </c>
      <c r="B18" t="s">
        <v>56</v>
      </c>
      <c r="C18">
        <v>82.456140350877192</v>
      </c>
      <c r="D18">
        <v>83.582089552238799</v>
      </c>
      <c r="E18">
        <v>63</v>
      </c>
      <c r="F18">
        <v>53</v>
      </c>
      <c r="G18">
        <v>47</v>
      </c>
      <c r="H18">
        <v>56</v>
      </c>
      <c r="I18">
        <v>120</v>
      </c>
      <c r="J18">
        <v>120</v>
      </c>
      <c r="K18">
        <v>52.5</v>
      </c>
      <c r="L18">
        <v>44.166666666666664</v>
      </c>
      <c r="M18">
        <v>0.5017872340425632</v>
      </c>
      <c r="N18">
        <v>0.68487499999999357</v>
      </c>
      <c r="O18">
        <f>_xlfn.XLOOKUP(S18, AnglePowerMatching!$H:$H, AnglePowerMatching!$C:$C, "NaN")</f>
        <v>26</v>
      </c>
      <c r="P18">
        <f>_xlfn.XLOOKUP(S18, AnglePowerMatching!$H:$H, AnglePowerMatching!$D:$D, "NaN")</f>
        <v>5</v>
      </c>
      <c r="Q18" t="b">
        <f t="shared" si="1"/>
        <v>1</v>
      </c>
      <c r="R18">
        <f>VALUE(_xlfn.TEXTBEFORE(A18, {"L","R"}, , , , A18))</f>
        <v>1029</v>
      </c>
      <c r="S18" t="str">
        <f t="shared" si="0"/>
        <v>102920260123</v>
      </c>
    </row>
    <row r="19" spans="1:19" x14ac:dyDescent="0.3">
      <c r="A19" t="s">
        <v>34</v>
      </c>
      <c r="B19" t="s">
        <v>57</v>
      </c>
      <c r="C19">
        <v>65.853658536585371</v>
      </c>
      <c r="D19">
        <v>68.888888888888886</v>
      </c>
      <c r="E19">
        <v>38</v>
      </c>
      <c r="F19">
        <v>30</v>
      </c>
      <c r="G19">
        <v>54</v>
      </c>
      <c r="H19">
        <v>62</v>
      </c>
      <c r="I19">
        <v>120</v>
      </c>
      <c r="J19">
        <v>120</v>
      </c>
      <c r="K19">
        <v>31.666666666666664</v>
      </c>
      <c r="L19">
        <v>25</v>
      </c>
      <c r="M19">
        <v>0.46425925925926187</v>
      </c>
      <c r="N19">
        <v>0.4117258064515989</v>
      </c>
      <c r="O19">
        <f>_xlfn.XLOOKUP(S19, AnglePowerMatching!$H:$H, AnglePowerMatching!$C:$C, "NaN")</f>
        <v>16</v>
      </c>
      <c r="P19">
        <f>_xlfn.XLOOKUP(S19, AnglePowerMatching!$H:$H, AnglePowerMatching!$D:$D, "NaN")</f>
        <v>3</v>
      </c>
      <c r="Q19" t="b">
        <f t="shared" si="1"/>
        <v>1</v>
      </c>
      <c r="R19">
        <f>VALUE(_xlfn.TEXTBEFORE(A19, {"L","R"}, , , , A19))</f>
        <v>1029</v>
      </c>
      <c r="S19" t="str">
        <f t="shared" si="0"/>
        <v>102920260129</v>
      </c>
    </row>
    <row r="20" spans="1:19" x14ac:dyDescent="0.3">
      <c r="A20" t="s">
        <v>34</v>
      </c>
      <c r="B20" t="s">
        <v>58</v>
      </c>
      <c r="C20">
        <v>84.285714285714292</v>
      </c>
      <c r="D20">
        <v>78.571428571428569</v>
      </c>
      <c r="E20">
        <v>59</v>
      </c>
      <c r="F20">
        <v>75</v>
      </c>
      <c r="G20">
        <v>59</v>
      </c>
      <c r="H20">
        <v>44</v>
      </c>
      <c r="I20">
        <v>129</v>
      </c>
      <c r="J20">
        <v>131</v>
      </c>
      <c r="K20">
        <v>45.736434108527128</v>
      </c>
      <c r="L20">
        <v>57.251908396946561</v>
      </c>
      <c r="M20">
        <v>0.50333898305084868</v>
      </c>
      <c r="N20">
        <v>0.4932499999999862</v>
      </c>
      <c r="O20">
        <f>_xlfn.XLOOKUP(S20, AnglePowerMatching!$H:$H, AnglePowerMatching!$C:$C, "NaN")</f>
        <v>16</v>
      </c>
      <c r="P20">
        <f>_xlfn.XLOOKUP(S20, AnglePowerMatching!$H:$H, AnglePowerMatching!$D:$D, "NaN")</f>
        <v>5</v>
      </c>
      <c r="Q20" t="b">
        <f t="shared" si="1"/>
        <v>1</v>
      </c>
      <c r="R20">
        <f>VALUE(_xlfn.TEXTBEFORE(A20, {"L","R"}, , , , A20))</f>
        <v>1029</v>
      </c>
      <c r="S20" t="str">
        <f t="shared" si="0"/>
        <v>102920260130</v>
      </c>
    </row>
    <row r="21" spans="1:19" x14ac:dyDescent="0.3">
      <c r="A21" t="s">
        <v>34</v>
      </c>
      <c r="B21" t="s">
        <v>59</v>
      </c>
      <c r="C21">
        <v>68.253968253968253</v>
      </c>
      <c r="D21">
        <v>78.125</v>
      </c>
      <c r="E21">
        <v>57</v>
      </c>
      <c r="F21">
        <v>56</v>
      </c>
      <c r="G21">
        <v>43</v>
      </c>
      <c r="H21">
        <v>50</v>
      </c>
      <c r="I21">
        <v>120</v>
      </c>
      <c r="J21">
        <v>120</v>
      </c>
      <c r="K21">
        <v>47.5</v>
      </c>
      <c r="L21">
        <v>46.666666666666664</v>
      </c>
      <c r="M21">
        <v>0.57860465116278648</v>
      </c>
      <c r="N21">
        <v>0.40883999999999687</v>
      </c>
      <c r="O21">
        <f>_xlfn.XLOOKUP(S21, AnglePowerMatching!$H:$H, AnglePowerMatching!$C:$C, "NaN")</f>
        <v>16</v>
      </c>
      <c r="P21">
        <f>_xlfn.XLOOKUP(S21, AnglePowerMatching!$H:$H, AnglePowerMatching!$D:$D, "NaN")</f>
        <v>10</v>
      </c>
      <c r="Q21" t="b">
        <f t="shared" si="1"/>
        <v>1</v>
      </c>
      <c r="R21">
        <f>VALUE(_xlfn.TEXTBEFORE(A21, {"L","R"}, , , , A21))</f>
        <v>1029</v>
      </c>
      <c r="S21" t="str">
        <f t="shared" si="0"/>
        <v>102920260131</v>
      </c>
    </row>
    <row r="22" spans="1:19" x14ac:dyDescent="0.3">
      <c r="A22" t="s">
        <v>35</v>
      </c>
      <c r="B22" t="s">
        <v>60</v>
      </c>
      <c r="C22">
        <v>62.62626262626263</v>
      </c>
      <c r="D22">
        <v>58.82352941176471</v>
      </c>
      <c r="E22">
        <v>21</v>
      </c>
      <c r="F22">
        <v>18</v>
      </c>
      <c r="G22">
        <v>62</v>
      </c>
      <c r="H22">
        <v>60</v>
      </c>
      <c r="I22">
        <v>120</v>
      </c>
      <c r="J22">
        <v>120</v>
      </c>
      <c r="K22">
        <v>17.5</v>
      </c>
      <c r="L22">
        <v>15</v>
      </c>
      <c r="M22">
        <v>0.37225806451612764</v>
      </c>
      <c r="N22">
        <v>0.30774999999998492</v>
      </c>
      <c r="O22">
        <f>_xlfn.XLOOKUP(S22, AnglePowerMatching!$H:$H, AnglePowerMatching!$C:$C, "NaN")</f>
        <v>66</v>
      </c>
      <c r="P22">
        <f>_xlfn.XLOOKUP(S22, AnglePowerMatching!$H:$H, AnglePowerMatching!$D:$D, "NaN")</f>
        <v>3</v>
      </c>
      <c r="Q22" t="b">
        <f t="shared" si="1"/>
        <v>1</v>
      </c>
      <c r="R22">
        <f>VALUE(_xlfn.TEXTBEFORE(A22, {"L","R"}, , , , A22))</f>
        <v>1030</v>
      </c>
      <c r="S22" t="str">
        <f t="shared" si="0"/>
        <v>103020251015</v>
      </c>
    </row>
    <row r="23" spans="1:19" x14ac:dyDescent="0.3">
      <c r="A23" t="s">
        <v>35</v>
      </c>
      <c r="B23" t="s">
        <v>61</v>
      </c>
      <c r="C23">
        <v>63.793103448275865</v>
      </c>
      <c r="D23">
        <v>73.333333333333329</v>
      </c>
      <c r="E23">
        <v>4</v>
      </c>
      <c r="F23">
        <v>0</v>
      </c>
      <c r="G23">
        <v>74</v>
      </c>
      <c r="H23">
        <v>88</v>
      </c>
      <c r="I23">
        <v>120</v>
      </c>
      <c r="J23">
        <v>120</v>
      </c>
      <c r="K23">
        <v>3.3333333333333335</v>
      </c>
      <c r="L23">
        <v>0</v>
      </c>
      <c r="M23">
        <v>0.24162162162162276</v>
      </c>
      <c r="N23">
        <v>0.28845454545456028</v>
      </c>
      <c r="O23">
        <f>_xlfn.XLOOKUP(S23, AnglePowerMatching!$H:$H, AnglePowerMatching!$C:$C, "NaN")</f>
        <v>66</v>
      </c>
      <c r="P23">
        <f>_xlfn.XLOOKUP(S23, AnglePowerMatching!$H:$H, AnglePowerMatching!$D:$D, "NaN")</f>
        <v>5</v>
      </c>
      <c r="Q23" t="b">
        <f t="shared" si="1"/>
        <v>1</v>
      </c>
      <c r="R23">
        <f>VALUE(_xlfn.TEXTBEFORE(A23, {"L","R"}, , , , A23))</f>
        <v>1030</v>
      </c>
      <c r="S23" t="str">
        <f t="shared" si="0"/>
        <v>103020251016</v>
      </c>
    </row>
    <row r="24" spans="1:19" x14ac:dyDescent="0.3">
      <c r="A24" t="s">
        <v>35</v>
      </c>
      <c r="B24" t="s">
        <v>62</v>
      </c>
      <c r="C24">
        <v>90.217391304347828</v>
      </c>
      <c r="D24">
        <v>80.434782608695656</v>
      </c>
      <c r="E24">
        <v>28</v>
      </c>
      <c r="F24">
        <v>28</v>
      </c>
      <c r="G24">
        <v>83</v>
      </c>
      <c r="H24">
        <v>74</v>
      </c>
      <c r="I24">
        <v>120</v>
      </c>
      <c r="J24">
        <v>120</v>
      </c>
      <c r="K24">
        <v>23.333333333333332</v>
      </c>
      <c r="L24">
        <v>23.333333333333332</v>
      </c>
      <c r="M24">
        <v>0.31006024096385759</v>
      </c>
      <c r="N24">
        <v>0.31935135135135456</v>
      </c>
      <c r="O24">
        <f>_xlfn.XLOOKUP(S24, AnglePowerMatching!$H:$H, AnglePowerMatching!$C:$C, "NaN")</f>
        <v>66</v>
      </c>
      <c r="P24">
        <f>_xlfn.XLOOKUP(S24, AnglePowerMatching!$H:$H, AnglePowerMatching!$D:$D, "NaN")</f>
        <v>10</v>
      </c>
      <c r="Q24" t="b">
        <f t="shared" si="1"/>
        <v>1</v>
      </c>
      <c r="R24">
        <f>VALUE(_xlfn.TEXTBEFORE(A24, {"L","R"}, , , , A24))</f>
        <v>1030</v>
      </c>
      <c r="S24" t="str">
        <f t="shared" si="0"/>
        <v>103020251017</v>
      </c>
    </row>
    <row r="25" spans="1:19" x14ac:dyDescent="0.3">
      <c r="A25" t="s">
        <v>35</v>
      </c>
      <c r="B25" t="s">
        <v>63</v>
      </c>
      <c r="C25">
        <v>72.164948453608247</v>
      </c>
      <c r="D25">
        <v>77.227722772277232</v>
      </c>
      <c r="E25">
        <v>23</v>
      </c>
      <c r="F25">
        <v>19</v>
      </c>
      <c r="G25">
        <v>70</v>
      </c>
      <c r="H25">
        <v>78</v>
      </c>
      <c r="I25">
        <v>120</v>
      </c>
      <c r="J25">
        <v>120</v>
      </c>
      <c r="K25">
        <v>19.166666666666668</v>
      </c>
      <c r="L25">
        <v>15.833333333333332</v>
      </c>
      <c r="M25">
        <v>0.35742857142857432</v>
      </c>
      <c r="N25">
        <v>0.32946153846153819</v>
      </c>
      <c r="O25">
        <f>_xlfn.XLOOKUP(S25, AnglePowerMatching!$H:$H, AnglePowerMatching!$C:$C, "NaN")</f>
        <v>66</v>
      </c>
      <c r="P25">
        <f>_xlfn.XLOOKUP(S25, AnglePowerMatching!$H:$H, AnglePowerMatching!$D:$D, "NaN")</f>
        <v>3</v>
      </c>
      <c r="Q25" t="b">
        <f t="shared" si="1"/>
        <v>1</v>
      </c>
      <c r="R25">
        <f>VALUE(_xlfn.TEXTBEFORE(A25, {"L","R"}, , , , A25))</f>
        <v>1030</v>
      </c>
      <c r="S25" t="str">
        <f t="shared" si="0"/>
        <v>103020251018</v>
      </c>
    </row>
    <row r="26" spans="1:19" x14ac:dyDescent="0.3">
      <c r="A26" t="s">
        <v>35</v>
      </c>
      <c r="B26" t="s">
        <v>64</v>
      </c>
      <c r="C26">
        <v>69.811320754716974</v>
      </c>
      <c r="D26">
        <v>73.214285714285708</v>
      </c>
      <c r="E26">
        <v>67</v>
      </c>
      <c r="F26">
        <v>64</v>
      </c>
      <c r="G26">
        <v>37</v>
      </c>
      <c r="H26">
        <v>41</v>
      </c>
      <c r="I26">
        <v>120</v>
      </c>
      <c r="J26">
        <v>120</v>
      </c>
      <c r="K26">
        <v>55.833333333333336</v>
      </c>
      <c r="L26">
        <v>53.333333333333336</v>
      </c>
      <c r="M26">
        <v>0.48835135135135055</v>
      </c>
      <c r="N26">
        <v>0.39495121951218892</v>
      </c>
      <c r="O26">
        <f>_xlfn.XLOOKUP(S26, AnglePowerMatching!$H:$H, AnglePowerMatching!$C:$C, "NaN")</f>
        <v>90</v>
      </c>
      <c r="P26">
        <f>_xlfn.XLOOKUP(S26, AnglePowerMatching!$H:$H, AnglePowerMatching!$D:$D, "NaN")</f>
        <v>3</v>
      </c>
      <c r="Q26" t="b">
        <f t="shared" si="1"/>
        <v>1</v>
      </c>
      <c r="R26">
        <f>VALUE(_xlfn.TEXTBEFORE(A26, {"L","R"}, , , , A26))</f>
        <v>1030</v>
      </c>
      <c r="S26" t="str">
        <f t="shared" si="0"/>
        <v>103020251025</v>
      </c>
    </row>
    <row r="27" spans="1:19" x14ac:dyDescent="0.3">
      <c r="A27" t="s">
        <v>35</v>
      </c>
      <c r="B27" t="s">
        <v>65</v>
      </c>
      <c r="C27">
        <v>74.468085106382972</v>
      </c>
      <c r="D27">
        <v>75</v>
      </c>
      <c r="E27">
        <v>31</v>
      </c>
      <c r="F27">
        <v>32</v>
      </c>
      <c r="G27">
        <v>70</v>
      </c>
      <c r="H27">
        <v>69</v>
      </c>
      <c r="I27">
        <v>125</v>
      </c>
      <c r="J27">
        <v>124</v>
      </c>
      <c r="K27">
        <v>24.8</v>
      </c>
      <c r="L27">
        <v>25.806451612903224</v>
      </c>
      <c r="M27">
        <v>0.3909285714285814</v>
      </c>
      <c r="N27">
        <v>0.35176811594201518</v>
      </c>
      <c r="O27">
        <f>_xlfn.XLOOKUP(S27, AnglePowerMatching!$H:$H, AnglePowerMatching!$C:$C, "NaN")</f>
        <v>90</v>
      </c>
      <c r="P27">
        <f>_xlfn.XLOOKUP(S27, AnglePowerMatching!$H:$H, AnglePowerMatching!$D:$D, "NaN")</f>
        <v>5</v>
      </c>
      <c r="Q27" t="b">
        <f t="shared" si="1"/>
        <v>1</v>
      </c>
      <c r="R27">
        <f>VALUE(_xlfn.TEXTBEFORE(A27, {"L","R"}, , , , A27))</f>
        <v>1030</v>
      </c>
      <c r="S27" t="str">
        <f t="shared" si="0"/>
        <v>103020251026</v>
      </c>
    </row>
    <row r="28" spans="1:19" x14ac:dyDescent="0.3">
      <c r="A28" t="s">
        <v>35</v>
      </c>
      <c r="B28" t="s">
        <v>66</v>
      </c>
      <c r="C28">
        <v>96.638655462184872</v>
      </c>
      <c r="D28">
        <v>94.9579831932773</v>
      </c>
      <c r="E28">
        <v>1</v>
      </c>
      <c r="F28">
        <v>1</v>
      </c>
      <c r="G28">
        <v>115</v>
      </c>
      <c r="H28">
        <v>113</v>
      </c>
      <c r="I28">
        <v>120</v>
      </c>
      <c r="J28">
        <v>120</v>
      </c>
      <c r="K28">
        <v>0.83333333333333337</v>
      </c>
      <c r="L28">
        <v>0.83333333333333337</v>
      </c>
      <c r="M28">
        <v>0.56280869565217639</v>
      </c>
      <c r="N28">
        <v>0.54071681415928852</v>
      </c>
      <c r="O28">
        <f>_xlfn.XLOOKUP(S28, AnglePowerMatching!$H:$H, AnglePowerMatching!$C:$C, "NaN")</f>
        <v>90</v>
      </c>
      <c r="P28">
        <f>_xlfn.XLOOKUP(S28, AnglePowerMatching!$H:$H, AnglePowerMatching!$D:$D, "NaN")</f>
        <v>10</v>
      </c>
      <c r="Q28" t="b">
        <f t="shared" si="1"/>
        <v>1</v>
      </c>
      <c r="R28">
        <f>VALUE(_xlfn.TEXTBEFORE(A28, {"L","R"}, , , , A28))</f>
        <v>1030</v>
      </c>
      <c r="S28" t="str">
        <f t="shared" si="0"/>
        <v>103020251027</v>
      </c>
    </row>
    <row r="29" spans="1:19" x14ac:dyDescent="0.3">
      <c r="A29" t="s">
        <v>35</v>
      </c>
      <c r="B29" t="s">
        <v>67</v>
      </c>
      <c r="C29">
        <v>89.189189189189193</v>
      </c>
      <c r="D29">
        <v>94.690265486725664</v>
      </c>
      <c r="E29">
        <v>9</v>
      </c>
      <c r="F29">
        <v>7</v>
      </c>
      <c r="G29">
        <v>99</v>
      </c>
      <c r="H29">
        <v>107</v>
      </c>
      <c r="I29">
        <v>120</v>
      </c>
      <c r="J29">
        <v>120</v>
      </c>
      <c r="K29">
        <v>7.5</v>
      </c>
      <c r="L29">
        <v>5.833333333333333</v>
      </c>
      <c r="M29">
        <v>0.51358585858586103</v>
      </c>
      <c r="N29">
        <v>0.54255140186915352</v>
      </c>
      <c r="O29">
        <f>_xlfn.XLOOKUP(S29, AnglePowerMatching!$H:$H, AnglePowerMatching!$C:$C, "NaN")</f>
        <v>90</v>
      </c>
      <c r="P29">
        <f>_xlfn.XLOOKUP(S29, AnglePowerMatching!$H:$H, AnglePowerMatching!$D:$D, "NaN")</f>
        <v>10</v>
      </c>
      <c r="Q29" t="b">
        <f t="shared" si="1"/>
        <v>1</v>
      </c>
      <c r="R29">
        <f>VALUE(_xlfn.TEXTBEFORE(A29, {"L","R"}, , , , A29))</f>
        <v>1030</v>
      </c>
      <c r="S29" t="str">
        <f t="shared" si="0"/>
        <v>103020251028</v>
      </c>
    </row>
    <row r="30" spans="1:19" x14ac:dyDescent="0.3">
      <c r="A30" t="s">
        <v>35</v>
      </c>
      <c r="B30" t="s">
        <v>68</v>
      </c>
      <c r="C30">
        <v>90</v>
      </c>
      <c r="D30">
        <v>89.075630252100851</v>
      </c>
      <c r="E30">
        <v>0</v>
      </c>
      <c r="F30">
        <v>1</v>
      </c>
      <c r="G30">
        <v>108</v>
      </c>
      <c r="H30">
        <v>106</v>
      </c>
      <c r="I30">
        <v>120</v>
      </c>
      <c r="J30">
        <v>120</v>
      </c>
      <c r="K30">
        <v>0</v>
      </c>
      <c r="L30">
        <v>0.83333333333333337</v>
      </c>
      <c r="M30">
        <v>0.38124074074073705</v>
      </c>
      <c r="N30">
        <v>0.38286792452830237</v>
      </c>
      <c r="O30">
        <f>_xlfn.XLOOKUP(S30, AnglePowerMatching!$H:$H, AnglePowerMatching!$C:$C, "NaN")</f>
        <v>35</v>
      </c>
      <c r="P30">
        <f>_xlfn.XLOOKUP(S30, AnglePowerMatching!$H:$H, AnglePowerMatching!$D:$D, "NaN")</f>
        <v>3</v>
      </c>
      <c r="Q30" t="b">
        <f t="shared" si="1"/>
        <v>1</v>
      </c>
      <c r="R30">
        <f>VALUE(_xlfn.TEXTBEFORE(A30, {"L","R"}, , , , A30))</f>
        <v>1030</v>
      </c>
      <c r="S30" t="str">
        <f t="shared" si="0"/>
        <v>103020251103</v>
      </c>
    </row>
    <row r="31" spans="1:19" x14ac:dyDescent="0.3">
      <c r="A31" t="s">
        <v>35</v>
      </c>
      <c r="B31" t="s">
        <v>69</v>
      </c>
      <c r="C31">
        <v>92.372881355932208</v>
      </c>
      <c r="D31">
        <v>93.220338983050837</v>
      </c>
      <c r="E31">
        <v>2</v>
      </c>
      <c r="F31">
        <v>2</v>
      </c>
      <c r="G31">
        <v>109</v>
      </c>
      <c r="H31">
        <v>110</v>
      </c>
      <c r="I31">
        <v>120</v>
      </c>
      <c r="J31">
        <v>120</v>
      </c>
      <c r="K31">
        <v>1.6666666666666667</v>
      </c>
      <c r="L31">
        <v>1.6666666666666667</v>
      </c>
      <c r="M31">
        <v>0.42896330275229055</v>
      </c>
      <c r="N31">
        <v>0.43836363636364956</v>
      </c>
      <c r="O31">
        <f>_xlfn.XLOOKUP(S31, AnglePowerMatching!$H:$H, AnglePowerMatching!$C:$C, "NaN")</f>
        <v>35</v>
      </c>
      <c r="P31">
        <f>_xlfn.XLOOKUP(S31, AnglePowerMatching!$H:$H, AnglePowerMatching!$D:$D, "NaN")</f>
        <v>5</v>
      </c>
      <c r="Q31" t="b">
        <f t="shared" si="1"/>
        <v>1</v>
      </c>
      <c r="R31">
        <f>VALUE(_xlfn.TEXTBEFORE(A31, {"L","R"}, , , , A31))</f>
        <v>1030</v>
      </c>
      <c r="S31" t="str">
        <f t="shared" si="0"/>
        <v>103020251104</v>
      </c>
    </row>
    <row r="32" spans="1:19" x14ac:dyDescent="0.3">
      <c r="A32" t="s">
        <v>35</v>
      </c>
      <c r="B32" t="s">
        <v>69</v>
      </c>
      <c r="C32">
        <v>64.356435643564353</v>
      </c>
      <c r="D32">
        <v>69</v>
      </c>
      <c r="E32">
        <v>19</v>
      </c>
      <c r="F32">
        <v>20</v>
      </c>
      <c r="G32">
        <v>65</v>
      </c>
      <c r="H32">
        <v>69</v>
      </c>
      <c r="I32">
        <v>120</v>
      </c>
      <c r="J32">
        <v>120</v>
      </c>
      <c r="K32">
        <v>15.833333333333332</v>
      </c>
      <c r="L32">
        <v>16.666666666666664</v>
      </c>
      <c r="M32">
        <v>1.2643999999999851</v>
      </c>
      <c r="N32">
        <v>1.1896231884058071</v>
      </c>
      <c r="O32">
        <f>_xlfn.XLOOKUP(S32, AnglePowerMatching!$H:$H, AnglePowerMatching!$C:$C, "NaN")</f>
        <v>35</v>
      </c>
      <c r="P32">
        <f>_xlfn.XLOOKUP(S32, AnglePowerMatching!$H:$H, AnglePowerMatching!$D:$D, "NaN")</f>
        <v>5</v>
      </c>
      <c r="Q32" t="b">
        <f t="shared" si="1"/>
        <v>1</v>
      </c>
      <c r="R32">
        <f>VALUE(_xlfn.TEXTBEFORE(A32, {"L","R"}, , , , A32))</f>
        <v>1030</v>
      </c>
      <c r="S32" t="str">
        <f t="shared" si="0"/>
        <v>103020251104</v>
      </c>
    </row>
    <row r="33" spans="1:19" x14ac:dyDescent="0.3">
      <c r="A33" t="s">
        <v>35</v>
      </c>
      <c r="B33" t="s">
        <v>70</v>
      </c>
      <c r="C33">
        <v>75.892857142857139</v>
      </c>
      <c r="D33">
        <v>74.107142857142861</v>
      </c>
      <c r="E33">
        <v>8</v>
      </c>
      <c r="F33">
        <v>8</v>
      </c>
      <c r="G33">
        <v>85</v>
      </c>
      <c r="H33">
        <v>83</v>
      </c>
      <c r="I33">
        <v>120</v>
      </c>
      <c r="J33">
        <v>120</v>
      </c>
      <c r="K33">
        <v>6.666666666666667</v>
      </c>
      <c r="L33">
        <v>6.666666666666667</v>
      </c>
      <c r="M33">
        <v>0.2840705882352908</v>
      </c>
      <c r="N33">
        <v>0.28373493975903896</v>
      </c>
      <c r="O33">
        <f>_xlfn.XLOOKUP(S33, AnglePowerMatching!$H:$H, AnglePowerMatching!$C:$C, "NaN")</f>
        <v>35</v>
      </c>
      <c r="P33">
        <f>_xlfn.XLOOKUP(S33, AnglePowerMatching!$H:$H, AnglePowerMatching!$D:$D, "NaN")</f>
        <v>10</v>
      </c>
      <c r="Q33" t="b">
        <f t="shared" si="1"/>
        <v>1</v>
      </c>
      <c r="R33">
        <f>VALUE(_xlfn.TEXTBEFORE(A33, {"L","R"}, , , , A33))</f>
        <v>1030</v>
      </c>
      <c r="S33" t="str">
        <f t="shared" si="0"/>
        <v>103020251105</v>
      </c>
    </row>
    <row r="34" spans="1:19" x14ac:dyDescent="0.3">
      <c r="A34" t="s">
        <v>35</v>
      </c>
      <c r="B34" t="s">
        <v>125</v>
      </c>
      <c r="C34">
        <v>91.666666666666657</v>
      </c>
      <c r="D34">
        <v>94.9579831932773</v>
      </c>
      <c r="E34">
        <v>0</v>
      </c>
      <c r="F34">
        <v>1</v>
      </c>
      <c r="G34">
        <v>110</v>
      </c>
      <c r="H34">
        <v>113</v>
      </c>
      <c r="I34">
        <v>120</v>
      </c>
      <c r="J34">
        <v>120</v>
      </c>
      <c r="K34">
        <v>0</v>
      </c>
      <c r="L34">
        <v>0.83333333333333337</v>
      </c>
      <c r="M34">
        <v>0.41985454545454493</v>
      </c>
      <c r="N34">
        <v>0.41159292035397838</v>
      </c>
      <c r="O34">
        <f>_xlfn.XLOOKUP(S34, AnglePowerMatching!$H:$H, AnglePowerMatching!$C:$C, "NaN")</f>
        <v>26</v>
      </c>
      <c r="P34">
        <f>_xlfn.XLOOKUP(S34, AnglePowerMatching!$H:$H, AnglePowerMatching!$D:$D, "NaN")</f>
        <v>3</v>
      </c>
      <c r="Q34" t="b">
        <f t="shared" si="1"/>
        <v>1</v>
      </c>
      <c r="R34">
        <f>VALUE(_xlfn.TEXTBEFORE(A34, {"L","R"}, , , , A34))</f>
        <v>1030</v>
      </c>
      <c r="S34" t="str">
        <f t="shared" si="0"/>
        <v>103020251110</v>
      </c>
    </row>
    <row r="35" spans="1:19" x14ac:dyDescent="0.3">
      <c r="A35" t="s">
        <v>35</v>
      </c>
      <c r="B35" t="s">
        <v>139</v>
      </c>
      <c r="C35">
        <v>89.075630252100851</v>
      </c>
      <c r="D35">
        <v>91.596638655462186</v>
      </c>
      <c r="E35">
        <v>1</v>
      </c>
      <c r="F35">
        <v>1</v>
      </c>
      <c r="G35">
        <v>106</v>
      </c>
      <c r="H35">
        <v>109</v>
      </c>
      <c r="I35">
        <v>120</v>
      </c>
      <c r="J35">
        <v>120</v>
      </c>
      <c r="K35">
        <v>0.83333333333333337</v>
      </c>
      <c r="L35">
        <v>0.83333333333333337</v>
      </c>
      <c r="M35">
        <v>0.30937735849056219</v>
      </c>
      <c r="N35">
        <v>0.33459633027522645</v>
      </c>
      <c r="O35">
        <f>_xlfn.XLOOKUP(S35, AnglePowerMatching!$H:$H, AnglePowerMatching!$C:$C, "NaN")</f>
        <v>26</v>
      </c>
      <c r="P35">
        <f>_xlfn.XLOOKUP(S35, AnglePowerMatching!$H:$H, AnglePowerMatching!$D:$D, "NaN")</f>
        <v>5</v>
      </c>
      <c r="Q35" t="b">
        <f t="shared" si="1"/>
        <v>1</v>
      </c>
      <c r="R35">
        <f>VALUE(_xlfn.TEXTBEFORE(A35, {"L","R"}, , , , A35))</f>
        <v>1030</v>
      </c>
      <c r="S35" t="str">
        <f t="shared" si="0"/>
        <v>103020251111</v>
      </c>
    </row>
    <row r="36" spans="1:19" x14ac:dyDescent="0.3">
      <c r="A36" t="s">
        <v>35</v>
      </c>
      <c r="B36" t="s">
        <v>140</v>
      </c>
      <c r="C36">
        <v>82</v>
      </c>
      <c r="D36">
        <v>86.440677966101703</v>
      </c>
      <c r="E36">
        <v>70</v>
      </c>
      <c r="F36">
        <v>61</v>
      </c>
      <c r="G36">
        <v>41</v>
      </c>
      <c r="H36">
        <v>51</v>
      </c>
      <c r="I36">
        <v>120</v>
      </c>
      <c r="J36">
        <v>120</v>
      </c>
      <c r="K36">
        <v>58.333333333333336</v>
      </c>
      <c r="L36">
        <v>50.833333333333329</v>
      </c>
      <c r="M36">
        <v>0.38758536585365783</v>
      </c>
      <c r="N36">
        <v>0.3810980392156853</v>
      </c>
      <c r="O36">
        <f>_xlfn.XLOOKUP(S36, AnglePowerMatching!$H:$H, AnglePowerMatching!$C:$C, "NaN")</f>
        <v>26</v>
      </c>
      <c r="P36">
        <f>_xlfn.XLOOKUP(S36, AnglePowerMatching!$H:$H, AnglePowerMatching!$D:$D, "NaN")</f>
        <v>10</v>
      </c>
      <c r="Q36" t="b">
        <f t="shared" si="1"/>
        <v>1</v>
      </c>
      <c r="R36">
        <f>VALUE(_xlfn.TEXTBEFORE(A36, {"L","R"}, , , , A36))</f>
        <v>1030</v>
      </c>
      <c r="S36" t="str">
        <f t="shared" si="0"/>
        <v>103020251112</v>
      </c>
    </row>
    <row r="37" spans="1:19" x14ac:dyDescent="0.3">
      <c r="A37" t="s">
        <v>35</v>
      </c>
      <c r="B37" t="s">
        <v>141</v>
      </c>
      <c r="C37">
        <v>92.241379310344826</v>
      </c>
      <c r="D37">
        <v>88.135593220338976</v>
      </c>
      <c r="E37">
        <v>4</v>
      </c>
      <c r="F37">
        <v>2</v>
      </c>
      <c r="G37">
        <v>107</v>
      </c>
      <c r="H37">
        <v>104</v>
      </c>
      <c r="I37">
        <v>120</v>
      </c>
      <c r="J37">
        <v>120</v>
      </c>
      <c r="K37">
        <v>3.3333333333333335</v>
      </c>
      <c r="L37">
        <v>1.6666666666666667</v>
      </c>
      <c r="M37">
        <v>0.40121495327103007</v>
      </c>
      <c r="N37">
        <v>0.3785384615384535</v>
      </c>
      <c r="O37">
        <f>_xlfn.XLOOKUP(S37, AnglePowerMatching!$H:$H, AnglePowerMatching!$C:$C, "NaN")</f>
        <v>16</v>
      </c>
      <c r="P37">
        <f>_xlfn.XLOOKUP(S37, AnglePowerMatching!$H:$H, AnglePowerMatching!$D:$D, "NaN")</f>
        <v>3</v>
      </c>
      <c r="Q37" t="b">
        <f t="shared" si="1"/>
        <v>1</v>
      </c>
      <c r="R37">
        <f>VALUE(_xlfn.TEXTBEFORE(A37, {"L","R"}, , , , A37))</f>
        <v>1030</v>
      </c>
      <c r="S37" t="str">
        <f t="shared" si="0"/>
        <v>103020251117</v>
      </c>
    </row>
    <row r="38" spans="1:19" x14ac:dyDescent="0.3">
      <c r="A38" t="s">
        <v>35</v>
      </c>
      <c r="B38" t="s">
        <v>142</v>
      </c>
      <c r="C38">
        <v>91.525423728813564</v>
      </c>
      <c r="D38">
        <v>90.833333333333329</v>
      </c>
      <c r="E38">
        <v>2</v>
      </c>
      <c r="F38">
        <v>0</v>
      </c>
      <c r="G38">
        <v>108</v>
      </c>
      <c r="H38">
        <v>109</v>
      </c>
      <c r="I38">
        <v>120</v>
      </c>
      <c r="J38">
        <v>120</v>
      </c>
      <c r="K38">
        <v>1.6666666666666667</v>
      </c>
      <c r="L38">
        <v>0</v>
      </c>
      <c r="M38">
        <v>0.50915740740741022</v>
      </c>
      <c r="N38">
        <v>0.50276146788990583</v>
      </c>
      <c r="O38">
        <f>_xlfn.XLOOKUP(S38, AnglePowerMatching!$H:$H, AnglePowerMatching!$C:$C, "NaN")</f>
        <v>16</v>
      </c>
      <c r="P38">
        <f>_xlfn.XLOOKUP(S38, AnglePowerMatching!$H:$H, AnglePowerMatching!$D:$D, "NaN")</f>
        <v>5</v>
      </c>
      <c r="Q38" t="b">
        <f t="shared" si="1"/>
        <v>1</v>
      </c>
      <c r="R38">
        <f>VALUE(_xlfn.TEXTBEFORE(A38, {"L","R"}, , , , A38))</f>
        <v>1030</v>
      </c>
      <c r="S38" t="str">
        <f t="shared" si="0"/>
        <v>103020251118</v>
      </c>
    </row>
    <row r="39" spans="1:19" x14ac:dyDescent="0.3">
      <c r="A39" t="s">
        <v>35</v>
      </c>
      <c r="B39" t="s">
        <v>143</v>
      </c>
      <c r="C39">
        <v>65.094339622641513</v>
      </c>
      <c r="D39">
        <v>69.811320754716974</v>
      </c>
      <c r="E39">
        <v>14</v>
      </c>
      <c r="F39">
        <v>14</v>
      </c>
      <c r="G39">
        <v>69</v>
      </c>
      <c r="H39">
        <v>74</v>
      </c>
      <c r="I39">
        <v>120</v>
      </c>
      <c r="J39">
        <v>120</v>
      </c>
      <c r="K39">
        <v>11.666666666666666</v>
      </c>
      <c r="L39">
        <v>11.666666666666666</v>
      </c>
      <c r="M39">
        <v>0.41863768115940558</v>
      </c>
      <c r="N39">
        <v>0.42555405405404212</v>
      </c>
      <c r="O39">
        <f>_xlfn.XLOOKUP(S39, AnglePowerMatching!$H:$H, AnglePowerMatching!$C:$C, "NaN")</f>
        <v>16</v>
      </c>
      <c r="P39">
        <f>_xlfn.XLOOKUP(S39, AnglePowerMatching!$H:$H, AnglePowerMatching!$D:$D, "NaN")</f>
        <v>10</v>
      </c>
      <c r="Q39" t="b">
        <f t="shared" si="1"/>
        <v>1</v>
      </c>
      <c r="R39">
        <f>VALUE(_xlfn.TEXTBEFORE(A39, {"L","R"}, , , , A39))</f>
        <v>1030</v>
      </c>
      <c r="S39" t="str">
        <f t="shared" si="0"/>
        <v>103020251119</v>
      </c>
    </row>
    <row r="40" spans="1:19" x14ac:dyDescent="0.3">
      <c r="A40" t="s">
        <v>35</v>
      </c>
      <c r="B40" t="s">
        <v>45</v>
      </c>
      <c r="C40">
        <v>55.844155844155843</v>
      </c>
      <c r="D40">
        <v>56.97674418604651</v>
      </c>
      <c r="E40">
        <v>44</v>
      </c>
      <c r="F40">
        <v>35</v>
      </c>
      <c r="G40">
        <v>43</v>
      </c>
      <c r="H40">
        <v>49</v>
      </c>
      <c r="I40">
        <v>121</v>
      </c>
      <c r="J40">
        <v>121</v>
      </c>
      <c r="K40">
        <v>36.363636363636367</v>
      </c>
      <c r="L40">
        <v>28.925619834710741</v>
      </c>
      <c r="M40">
        <v>0.23565116279068807</v>
      </c>
      <c r="N40">
        <v>0.25642857142856201</v>
      </c>
      <c r="O40">
        <f>_xlfn.XLOOKUP(S40, AnglePowerMatching!$H:$H, AnglePowerMatching!$C:$C, "NaN")</f>
        <v>66</v>
      </c>
      <c r="P40" t="str">
        <f>_xlfn.XLOOKUP(S40, AnglePowerMatching!$H:$H, AnglePowerMatching!$D:$D, "NaN")</f>
        <v>3 masker</v>
      </c>
      <c r="Q40" t="b">
        <f t="shared" si="1"/>
        <v>1</v>
      </c>
      <c r="R40">
        <f>VALUE(_xlfn.TEXTBEFORE(A40, {"L","R"}, , , , A40))</f>
        <v>1030</v>
      </c>
      <c r="S40" t="str">
        <f t="shared" si="0"/>
        <v>103020251215</v>
      </c>
    </row>
    <row r="41" spans="1:19" x14ac:dyDescent="0.3">
      <c r="A41" t="s">
        <v>35</v>
      </c>
      <c r="B41" t="s">
        <v>47</v>
      </c>
      <c r="C41">
        <v>54.54545454545454</v>
      </c>
      <c r="D41">
        <v>54.098360655737707</v>
      </c>
      <c r="E41">
        <v>0</v>
      </c>
      <c r="F41">
        <v>0</v>
      </c>
      <c r="G41">
        <v>66</v>
      </c>
      <c r="H41">
        <v>66</v>
      </c>
      <c r="I41">
        <v>121</v>
      </c>
      <c r="J41">
        <v>122</v>
      </c>
      <c r="K41">
        <v>0</v>
      </c>
      <c r="L41">
        <v>0</v>
      </c>
      <c r="M41">
        <v>0.18689393939395033</v>
      </c>
      <c r="N41">
        <v>0.15080303030303607</v>
      </c>
      <c r="O41">
        <f>_xlfn.XLOOKUP(S41, AnglePowerMatching!$H:$H, AnglePowerMatching!$C:$C, "NaN")</f>
        <v>66</v>
      </c>
      <c r="P41" t="str">
        <f>_xlfn.XLOOKUP(S41, AnglePowerMatching!$H:$H, AnglePowerMatching!$D:$D, "NaN")</f>
        <v>3 masker</v>
      </c>
      <c r="Q41" t="b">
        <f t="shared" si="1"/>
        <v>1</v>
      </c>
      <c r="R41">
        <f>VALUE(_xlfn.TEXTBEFORE(A41, {"L","R"}, , , , A41))</f>
        <v>1030</v>
      </c>
      <c r="S41" t="str">
        <f t="shared" si="0"/>
        <v>103020251217</v>
      </c>
    </row>
    <row r="42" spans="1:19" x14ac:dyDescent="0.3">
      <c r="A42" t="s">
        <v>35</v>
      </c>
      <c r="B42" t="s">
        <v>48</v>
      </c>
      <c r="C42">
        <v>50</v>
      </c>
      <c r="D42">
        <v>54.621848739495796</v>
      </c>
      <c r="E42">
        <v>2</v>
      </c>
      <c r="F42">
        <v>1</v>
      </c>
      <c r="G42">
        <v>59</v>
      </c>
      <c r="H42">
        <v>65</v>
      </c>
      <c r="I42">
        <v>120</v>
      </c>
      <c r="J42">
        <v>120</v>
      </c>
      <c r="K42">
        <v>1.6666666666666667</v>
      </c>
      <c r="L42">
        <v>0.83333333333333337</v>
      </c>
      <c r="M42">
        <v>0.169491525423727</v>
      </c>
      <c r="N42">
        <v>0.18509230769229965</v>
      </c>
      <c r="O42">
        <f>_xlfn.XLOOKUP(S42, AnglePowerMatching!$H:$H, AnglePowerMatching!$C:$C, "NaN")</f>
        <v>66</v>
      </c>
      <c r="P42" t="str">
        <f>_xlfn.XLOOKUP(S42, AnglePowerMatching!$H:$H, AnglePowerMatching!$D:$D, "NaN")</f>
        <v>3 masker</v>
      </c>
      <c r="Q42" t="b">
        <f t="shared" si="1"/>
        <v>1</v>
      </c>
      <c r="R42">
        <f>VALUE(_xlfn.TEXTBEFORE(A42, {"L","R"}, , , , A42))</f>
        <v>1030</v>
      </c>
      <c r="S42" t="str">
        <f t="shared" si="0"/>
        <v>103020251218</v>
      </c>
    </row>
    <row r="43" spans="1:19" x14ac:dyDescent="0.3">
      <c r="A43" t="s">
        <v>35</v>
      </c>
      <c r="B43" t="s">
        <v>49</v>
      </c>
      <c r="C43">
        <v>66.949152542372886</v>
      </c>
      <c r="D43">
        <v>68.103448275862064</v>
      </c>
      <c r="E43">
        <v>2</v>
      </c>
      <c r="F43">
        <v>4</v>
      </c>
      <c r="G43">
        <v>79</v>
      </c>
      <c r="H43">
        <v>79</v>
      </c>
      <c r="I43">
        <v>120</v>
      </c>
      <c r="J43">
        <v>120</v>
      </c>
      <c r="K43">
        <v>1.6666666666666667</v>
      </c>
      <c r="L43">
        <v>3.3333333333333335</v>
      </c>
      <c r="M43">
        <v>0.24762025316456787</v>
      </c>
      <c r="N43">
        <v>0.24563291139239549</v>
      </c>
      <c r="O43">
        <f>_xlfn.XLOOKUP(S43, AnglePowerMatching!$H:$H, AnglePowerMatching!$C:$C, "NaN")</f>
        <v>66</v>
      </c>
      <c r="P43">
        <f>_xlfn.XLOOKUP(S43, AnglePowerMatching!$H:$H, AnglePowerMatching!$D:$D, "NaN")</f>
        <v>10</v>
      </c>
      <c r="Q43" t="b">
        <f t="shared" si="1"/>
        <v>1</v>
      </c>
      <c r="R43">
        <f>VALUE(_xlfn.TEXTBEFORE(A43, {"L","R"}, , , , A43))</f>
        <v>1030</v>
      </c>
      <c r="S43" t="str">
        <f t="shared" si="0"/>
        <v>103020251230</v>
      </c>
    </row>
    <row r="44" spans="1:19" x14ac:dyDescent="0.3">
      <c r="A44" t="s">
        <v>1</v>
      </c>
      <c r="B44" t="s">
        <v>40</v>
      </c>
      <c r="C44">
        <v>73.109243697478988</v>
      </c>
      <c r="D44">
        <v>70.833333333333343</v>
      </c>
      <c r="E44">
        <v>1</v>
      </c>
      <c r="F44">
        <v>0</v>
      </c>
      <c r="G44">
        <v>87</v>
      </c>
      <c r="H44">
        <v>85</v>
      </c>
      <c r="I44">
        <v>120</v>
      </c>
      <c r="J44">
        <v>120</v>
      </c>
      <c r="K44">
        <v>0.83333333333333337</v>
      </c>
      <c r="L44">
        <v>0</v>
      </c>
      <c r="M44">
        <v>0.21977011494253276</v>
      </c>
      <c r="N44">
        <v>0.22056470588235283</v>
      </c>
      <c r="O44">
        <f>_xlfn.XLOOKUP(S44, AnglePowerMatching!$H:$H, AnglePowerMatching!$C:$C, "NaN")</f>
        <v>66</v>
      </c>
      <c r="P44">
        <f>_xlfn.XLOOKUP(S44, AnglePowerMatching!$H:$H, AnglePowerMatching!$D:$D, "NaN")</f>
        <v>3</v>
      </c>
      <c r="Q44" t="b">
        <f t="shared" si="1"/>
        <v>1</v>
      </c>
      <c r="R44">
        <f>VALUE(_xlfn.TEXTBEFORE(A44, {"L","R"}, , , , A44))</f>
        <v>1031</v>
      </c>
      <c r="S44" t="str">
        <f t="shared" si="0"/>
        <v>103120251122</v>
      </c>
    </row>
    <row r="45" spans="1:19" x14ac:dyDescent="0.3">
      <c r="A45" t="s">
        <v>1</v>
      </c>
      <c r="B45" t="s">
        <v>41</v>
      </c>
      <c r="C45">
        <v>56.666666666666664</v>
      </c>
      <c r="D45">
        <v>55.000000000000007</v>
      </c>
      <c r="E45">
        <v>0</v>
      </c>
      <c r="F45">
        <v>0</v>
      </c>
      <c r="G45">
        <v>68</v>
      </c>
      <c r="H45">
        <v>66</v>
      </c>
      <c r="I45">
        <v>120</v>
      </c>
      <c r="J45">
        <v>120</v>
      </c>
      <c r="K45">
        <v>0</v>
      </c>
      <c r="L45">
        <v>0</v>
      </c>
      <c r="M45">
        <v>0.21952941176470814</v>
      </c>
      <c r="N45">
        <v>0.21506060606060415</v>
      </c>
      <c r="O45">
        <f>_xlfn.XLOOKUP(S45, AnglePowerMatching!$H:$H, AnglePowerMatching!$C:$C, "NaN")</f>
        <v>66</v>
      </c>
      <c r="P45">
        <f>_xlfn.XLOOKUP(S45, AnglePowerMatching!$H:$H, AnglePowerMatching!$D:$D, "NaN")</f>
        <v>5</v>
      </c>
      <c r="Q45" t="b">
        <f t="shared" si="1"/>
        <v>1</v>
      </c>
      <c r="R45">
        <f>VALUE(_xlfn.TEXTBEFORE(A45, {"L","R"}, , , , A45))</f>
        <v>1031</v>
      </c>
      <c r="S45" t="str">
        <f t="shared" si="0"/>
        <v>103120251123</v>
      </c>
    </row>
    <row r="46" spans="1:19" x14ac:dyDescent="0.3">
      <c r="A46" t="s">
        <v>1</v>
      </c>
      <c r="B46" t="s">
        <v>42</v>
      </c>
      <c r="C46">
        <v>65</v>
      </c>
      <c r="D46">
        <v>64.166666666666671</v>
      </c>
      <c r="E46">
        <v>0</v>
      </c>
      <c r="F46">
        <v>0</v>
      </c>
      <c r="G46">
        <v>78</v>
      </c>
      <c r="H46">
        <v>77</v>
      </c>
      <c r="I46">
        <v>120</v>
      </c>
      <c r="J46">
        <v>120</v>
      </c>
      <c r="K46">
        <v>0</v>
      </c>
      <c r="L46">
        <v>0</v>
      </c>
      <c r="M46">
        <v>0.20064102564102407</v>
      </c>
      <c r="N46">
        <v>0.18679220779221206</v>
      </c>
      <c r="O46">
        <f>_xlfn.XLOOKUP(S46, AnglePowerMatching!$H:$H, AnglePowerMatching!$C:$C, "NaN")</f>
        <v>66</v>
      </c>
      <c r="P46">
        <f>_xlfn.XLOOKUP(S46, AnglePowerMatching!$H:$H, AnglePowerMatching!$D:$D, "NaN")</f>
        <v>10</v>
      </c>
      <c r="Q46" t="b">
        <f t="shared" si="1"/>
        <v>1</v>
      </c>
      <c r="R46">
        <f>VALUE(_xlfn.TEXTBEFORE(A46, {"L","R"}, , , , A46))</f>
        <v>1031</v>
      </c>
      <c r="S46" t="str">
        <f t="shared" si="0"/>
        <v>103120251124</v>
      </c>
    </row>
    <row r="47" spans="1:19" x14ac:dyDescent="0.3">
      <c r="A47" t="s">
        <v>1</v>
      </c>
      <c r="B47" t="s">
        <v>43</v>
      </c>
      <c r="C47">
        <v>79.310344827586206</v>
      </c>
      <c r="D47">
        <v>71.05263157894737</v>
      </c>
      <c r="E47">
        <v>4</v>
      </c>
      <c r="F47">
        <v>6</v>
      </c>
      <c r="G47">
        <v>92</v>
      </c>
      <c r="H47">
        <v>81</v>
      </c>
      <c r="I47">
        <v>120</v>
      </c>
      <c r="J47">
        <v>120</v>
      </c>
      <c r="K47">
        <v>3.3333333333333335</v>
      </c>
      <c r="L47">
        <v>5</v>
      </c>
      <c r="M47">
        <v>0.2699456521739067</v>
      </c>
      <c r="N47">
        <v>0.24641975308643213</v>
      </c>
      <c r="O47">
        <f>_xlfn.XLOOKUP(S47, AnglePowerMatching!$H:$H, AnglePowerMatching!$C:$C, "NaN")</f>
        <v>90</v>
      </c>
      <c r="P47">
        <f>_xlfn.XLOOKUP(S47, AnglePowerMatching!$H:$H, AnglePowerMatching!$D:$D, "NaN")</f>
        <v>3</v>
      </c>
      <c r="Q47" t="b">
        <f t="shared" si="1"/>
        <v>1</v>
      </c>
      <c r="R47">
        <f>VALUE(_xlfn.TEXTBEFORE(A47, {"L","R"}, , , , A47))</f>
        <v>1031</v>
      </c>
      <c r="S47" t="str">
        <f t="shared" si="0"/>
        <v>103120251212</v>
      </c>
    </row>
    <row r="48" spans="1:19" x14ac:dyDescent="0.3">
      <c r="A48" t="s">
        <v>1</v>
      </c>
      <c r="B48" t="s">
        <v>44</v>
      </c>
      <c r="C48">
        <v>72.477064220183479</v>
      </c>
      <c r="D48">
        <v>73.214285714285708</v>
      </c>
      <c r="E48">
        <v>11</v>
      </c>
      <c r="F48">
        <v>8</v>
      </c>
      <c r="G48">
        <v>79</v>
      </c>
      <c r="H48">
        <v>82</v>
      </c>
      <c r="I48">
        <v>120</v>
      </c>
      <c r="J48">
        <v>120</v>
      </c>
      <c r="K48">
        <v>9.1666666666666661</v>
      </c>
      <c r="L48">
        <v>6.666666666666667</v>
      </c>
      <c r="M48">
        <v>0.27644303797468489</v>
      </c>
      <c r="N48">
        <v>0.25739024390243725</v>
      </c>
      <c r="O48">
        <f>_xlfn.XLOOKUP(S48, AnglePowerMatching!$H:$H, AnglePowerMatching!$C:$C, "NaN")</f>
        <v>90</v>
      </c>
      <c r="P48">
        <f>_xlfn.XLOOKUP(S48, AnglePowerMatching!$H:$H, AnglePowerMatching!$D:$D, "NaN")</f>
        <v>5</v>
      </c>
      <c r="Q48" t="b">
        <f t="shared" si="1"/>
        <v>1</v>
      </c>
      <c r="R48">
        <f>VALUE(_xlfn.TEXTBEFORE(A48, {"L","R"}, , , , A48))</f>
        <v>1031</v>
      </c>
      <c r="S48" t="str">
        <f t="shared" si="0"/>
        <v>103120251213</v>
      </c>
    </row>
    <row r="49" spans="1:19" x14ac:dyDescent="0.3">
      <c r="A49" t="s">
        <v>1</v>
      </c>
      <c r="B49" t="s">
        <v>45</v>
      </c>
      <c r="C49">
        <v>79.775280898876403</v>
      </c>
      <c r="D49">
        <v>71.910112359550567</v>
      </c>
      <c r="E49">
        <v>31</v>
      </c>
      <c r="F49">
        <v>31</v>
      </c>
      <c r="G49">
        <v>71</v>
      </c>
      <c r="H49">
        <v>64</v>
      </c>
      <c r="I49">
        <v>120</v>
      </c>
      <c r="J49">
        <v>120</v>
      </c>
      <c r="K49">
        <v>25.833333333333336</v>
      </c>
      <c r="L49">
        <v>25.833333333333336</v>
      </c>
      <c r="M49">
        <v>0.96139436619718033</v>
      </c>
      <c r="N49">
        <v>0.84771875000001695</v>
      </c>
      <c r="O49">
        <f>_xlfn.XLOOKUP(S49, AnglePowerMatching!$H:$H, AnglePowerMatching!$C:$C, "NaN")</f>
        <v>90</v>
      </c>
      <c r="P49">
        <f>_xlfn.XLOOKUP(S49, AnglePowerMatching!$H:$H, AnglePowerMatching!$D:$D, "NaN")</f>
        <v>10</v>
      </c>
      <c r="Q49" t="b">
        <f t="shared" si="1"/>
        <v>1</v>
      </c>
      <c r="R49">
        <f>VALUE(_xlfn.TEXTBEFORE(A49, {"L","R"}, , , , A49))</f>
        <v>1031</v>
      </c>
      <c r="S49" t="str">
        <f t="shared" si="0"/>
        <v>103120251215</v>
      </c>
    </row>
    <row r="50" spans="1:19" x14ac:dyDescent="0.3">
      <c r="A50" t="s">
        <v>1</v>
      </c>
      <c r="B50" t="s">
        <v>46</v>
      </c>
      <c r="C50">
        <v>40.833333333333336</v>
      </c>
      <c r="D50">
        <v>36.286919831223628</v>
      </c>
      <c r="E50">
        <v>0</v>
      </c>
      <c r="F50">
        <v>3</v>
      </c>
      <c r="G50">
        <v>98</v>
      </c>
      <c r="H50">
        <v>86</v>
      </c>
      <c r="I50">
        <v>240</v>
      </c>
      <c r="J50">
        <v>240</v>
      </c>
      <c r="K50">
        <v>0</v>
      </c>
      <c r="L50">
        <v>1.25</v>
      </c>
      <c r="M50">
        <v>0.30175510204081862</v>
      </c>
      <c r="N50">
        <v>0.33576744186048441</v>
      </c>
      <c r="O50">
        <f>_xlfn.XLOOKUP(S50, AnglePowerMatching!$H:$H, AnglePowerMatching!$C:$C, "NaN")</f>
        <v>90</v>
      </c>
      <c r="P50">
        <f>_xlfn.XLOOKUP(S50, AnglePowerMatching!$H:$H, AnglePowerMatching!$D:$D, "NaN")</f>
        <v>10</v>
      </c>
      <c r="Q50" t="b">
        <f t="shared" si="1"/>
        <v>1</v>
      </c>
      <c r="R50">
        <f>VALUE(_xlfn.TEXTBEFORE(A50, {"L","R"}, , , , A50))</f>
        <v>1031</v>
      </c>
      <c r="S50" t="str">
        <f t="shared" si="0"/>
        <v>103120251216</v>
      </c>
    </row>
    <row r="51" spans="1:19" x14ac:dyDescent="0.3">
      <c r="A51" t="s">
        <v>1</v>
      </c>
      <c r="B51" t="s">
        <v>47</v>
      </c>
      <c r="C51">
        <v>63.70967741935484</v>
      </c>
      <c r="D51">
        <v>64</v>
      </c>
      <c r="E51">
        <v>0</v>
      </c>
      <c r="F51">
        <v>0</v>
      </c>
      <c r="G51">
        <v>79</v>
      </c>
      <c r="H51">
        <v>80</v>
      </c>
      <c r="I51">
        <v>124</v>
      </c>
      <c r="J51">
        <v>125</v>
      </c>
      <c r="K51">
        <v>0</v>
      </c>
      <c r="L51">
        <v>0</v>
      </c>
      <c r="M51">
        <v>0.20270886075950631</v>
      </c>
      <c r="N51">
        <v>0.2068500000000042</v>
      </c>
      <c r="O51">
        <f>_xlfn.XLOOKUP(S51, AnglePowerMatching!$H:$H, AnglePowerMatching!$C:$C, "NaN")</f>
        <v>90</v>
      </c>
      <c r="P51">
        <f>_xlfn.XLOOKUP(S51, AnglePowerMatching!$H:$H, AnglePowerMatching!$D:$D, "NaN")</f>
        <v>10</v>
      </c>
      <c r="Q51" t="b">
        <f t="shared" si="1"/>
        <v>1</v>
      </c>
      <c r="R51">
        <f>VALUE(_xlfn.TEXTBEFORE(A51, {"L","R"}, , , , A51))</f>
        <v>1031</v>
      </c>
      <c r="S51" t="str">
        <f t="shared" si="0"/>
        <v>103120251217</v>
      </c>
    </row>
    <row r="52" spans="1:19" x14ac:dyDescent="0.3">
      <c r="A52" t="s">
        <v>1</v>
      </c>
      <c r="B52" t="s">
        <v>48</v>
      </c>
      <c r="C52">
        <v>51.666666666666671</v>
      </c>
      <c r="D52">
        <v>56.666666666666664</v>
      </c>
      <c r="E52">
        <v>0</v>
      </c>
      <c r="F52">
        <v>0</v>
      </c>
      <c r="G52">
        <v>62</v>
      </c>
      <c r="H52">
        <v>68</v>
      </c>
      <c r="I52">
        <v>120</v>
      </c>
      <c r="J52">
        <v>120</v>
      </c>
      <c r="K52">
        <v>0</v>
      </c>
      <c r="L52">
        <v>0</v>
      </c>
      <c r="M52">
        <v>0.2188548387096852</v>
      </c>
      <c r="N52">
        <v>0.21092647058822345</v>
      </c>
      <c r="O52">
        <f>_xlfn.XLOOKUP(S52, AnglePowerMatching!$H:$H, AnglePowerMatching!$C:$C, "NaN")</f>
        <v>90</v>
      </c>
      <c r="P52">
        <f>_xlfn.XLOOKUP(S52, AnglePowerMatching!$H:$H, AnglePowerMatching!$D:$D, "NaN")</f>
        <v>5</v>
      </c>
      <c r="Q52" t="b">
        <f t="shared" si="1"/>
        <v>1</v>
      </c>
      <c r="R52">
        <f>VALUE(_xlfn.TEXTBEFORE(A52, {"L","R"}, , , , A52))</f>
        <v>1031</v>
      </c>
      <c r="S52" t="str">
        <f t="shared" si="0"/>
        <v>103120251218</v>
      </c>
    </row>
    <row r="53" spans="1:19" x14ac:dyDescent="0.3">
      <c r="A53" t="s">
        <v>1</v>
      </c>
      <c r="B53" t="s">
        <v>53</v>
      </c>
      <c r="C53">
        <v>64.166666666666671</v>
      </c>
      <c r="D53">
        <v>70</v>
      </c>
      <c r="E53">
        <v>0</v>
      </c>
      <c r="F53">
        <v>0</v>
      </c>
      <c r="G53">
        <v>77</v>
      </c>
      <c r="H53">
        <v>84</v>
      </c>
      <c r="I53">
        <v>120</v>
      </c>
      <c r="J53">
        <v>120</v>
      </c>
      <c r="K53">
        <v>0</v>
      </c>
      <c r="L53">
        <v>0</v>
      </c>
      <c r="M53">
        <v>0.22964935064935477</v>
      </c>
      <c r="N53">
        <v>0.23244047619046568</v>
      </c>
      <c r="O53">
        <f>_xlfn.XLOOKUP(S53, AnglePowerMatching!$H:$H, AnglePowerMatching!$C:$C, "NaN")</f>
        <v>35</v>
      </c>
      <c r="P53">
        <f>_xlfn.XLOOKUP(S53, AnglePowerMatching!$H:$H, AnglePowerMatching!$D:$D, "NaN")</f>
        <v>3</v>
      </c>
      <c r="Q53" t="b">
        <f t="shared" si="1"/>
        <v>1</v>
      </c>
      <c r="R53">
        <f>VALUE(_xlfn.TEXTBEFORE(A53, {"L","R"}, , , , A53))</f>
        <v>1031</v>
      </c>
      <c r="S53" t="str">
        <f t="shared" si="0"/>
        <v>103120260109</v>
      </c>
    </row>
    <row r="54" spans="1:19" x14ac:dyDescent="0.3">
      <c r="A54" t="s">
        <v>1</v>
      </c>
      <c r="B54" t="s">
        <v>54</v>
      </c>
      <c r="C54">
        <v>72.268907563025209</v>
      </c>
      <c r="D54">
        <v>82.203389830508485</v>
      </c>
      <c r="E54">
        <v>1</v>
      </c>
      <c r="F54">
        <v>2</v>
      </c>
      <c r="G54">
        <v>86</v>
      </c>
      <c r="H54">
        <v>97</v>
      </c>
      <c r="I54">
        <v>120</v>
      </c>
      <c r="J54">
        <v>120</v>
      </c>
      <c r="K54">
        <v>0.83333333333333337</v>
      </c>
      <c r="L54">
        <v>1.6666666666666667</v>
      </c>
      <c r="M54">
        <v>0.30811627906975225</v>
      </c>
      <c r="N54">
        <v>0.29112371134019949</v>
      </c>
      <c r="O54">
        <f>_xlfn.XLOOKUP(S54, AnglePowerMatching!$H:$H, AnglePowerMatching!$C:$C, "NaN")</f>
        <v>35</v>
      </c>
      <c r="P54">
        <f>_xlfn.XLOOKUP(S54, AnglePowerMatching!$H:$H, AnglePowerMatching!$D:$D, "NaN")</f>
        <v>5</v>
      </c>
      <c r="Q54" t="b">
        <f t="shared" si="1"/>
        <v>1</v>
      </c>
      <c r="R54">
        <f>VALUE(_xlfn.TEXTBEFORE(A54, {"L","R"}, , , , A54))</f>
        <v>1031</v>
      </c>
      <c r="S54" t="str">
        <f t="shared" si="0"/>
        <v>103120260110</v>
      </c>
    </row>
    <row r="55" spans="1:19" x14ac:dyDescent="0.3">
      <c r="A55" t="s">
        <v>1</v>
      </c>
      <c r="B55" t="s">
        <v>71</v>
      </c>
      <c r="C55">
        <v>54.166666666666664</v>
      </c>
      <c r="D55">
        <v>54.166666666666664</v>
      </c>
      <c r="E55">
        <v>0</v>
      </c>
      <c r="F55">
        <v>0</v>
      </c>
      <c r="G55">
        <v>65</v>
      </c>
      <c r="H55">
        <v>65</v>
      </c>
      <c r="I55">
        <v>120</v>
      </c>
      <c r="J55">
        <v>120</v>
      </c>
      <c r="K55">
        <v>0</v>
      </c>
      <c r="L55">
        <v>0</v>
      </c>
      <c r="M55">
        <v>0.22067692307691866</v>
      </c>
      <c r="N55">
        <v>0.20215384615384457</v>
      </c>
      <c r="O55">
        <f>_xlfn.XLOOKUP(S55, AnglePowerMatching!$H:$H, AnglePowerMatching!$C:$C, "NaN")</f>
        <v>35</v>
      </c>
      <c r="P55">
        <f>_xlfn.XLOOKUP(S55, AnglePowerMatching!$H:$H, AnglePowerMatching!$D:$D, "NaN")</f>
        <v>10</v>
      </c>
      <c r="Q55" t="b">
        <f t="shared" si="1"/>
        <v>1</v>
      </c>
      <c r="R55">
        <f>VALUE(_xlfn.TEXTBEFORE(A55, {"L","R"}, , , , A55))</f>
        <v>1031</v>
      </c>
      <c r="S55" t="str">
        <f t="shared" si="0"/>
        <v>103120260111</v>
      </c>
    </row>
    <row r="56" spans="1:19" x14ac:dyDescent="0.3">
      <c r="A56" t="s">
        <v>1</v>
      </c>
      <c r="B56" t="s">
        <v>7</v>
      </c>
      <c r="C56">
        <v>47.5</v>
      </c>
      <c r="D56">
        <v>52.100840336134461</v>
      </c>
      <c r="E56">
        <v>0</v>
      </c>
      <c r="F56">
        <v>1</v>
      </c>
      <c r="G56">
        <v>57</v>
      </c>
      <c r="H56">
        <v>62</v>
      </c>
      <c r="I56">
        <v>120</v>
      </c>
      <c r="J56">
        <v>120</v>
      </c>
      <c r="K56">
        <v>0</v>
      </c>
      <c r="L56">
        <v>0.83333333333333337</v>
      </c>
      <c r="M56">
        <v>0.25163157894736493</v>
      </c>
      <c r="N56">
        <v>0.22275806451613203</v>
      </c>
      <c r="O56">
        <f>_xlfn.XLOOKUP(S56, AnglePowerMatching!$H:$H, AnglePowerMatching!$C:$C, "NaN")</f>
        <v>35</v>
      </c>
      <c r="P56">
        <f>_xlfn.XLOOKUP(S56, AnglePowerMatching!$H:$H, AnglePowerMatching!$D:$D, "NaN")</f>
        <v>10</v>
      </c>
      <c r="Q56" t="b">
        <f t="shared" si="1"/>
        <v>1</v>
      </c>
      <c r="R56">
        <f>VALUE(_xlfn.TEXTBEFORE(A56, {"L","R"}, , , , A56))</f>
        <v>1031</v>
      </c>
      <c r="S56" t="str">
        <f t="shared" si="0"/>
        <v>103120260115</v>
      </c>
    </row>
    <row r="57" spans="1:19" x14ac:dyDescent="0.3">
      <c r="A57" t="s">
        <v>1</v>
      </c>
      <c r="B57" t="s">
        <v>55</v>
      </c>
      <c r="C57">
        <v>59.82905982905983</v>
      </c>
      <c r="D57">
        <v>56.896551724137936</v>
      </c>
      <c r="E57">
        <v>3</v>
      </c>
      <c r="F57">
        <v>4</v>
      </c>
      <c r="G57">
        <v>70</v>
      </c>
      <c r="H57">
        <v>66</v>
      </c>
      <c r="I57">
        <v>120</v>
      </c>
      <c r="J57">
        <v>120</v>
      </c>
      <c r="K57">
        <v>2.5</v>
      </c>
      <c r="L57">
        <v>3.3333333333333335</v>
      </c>
      <c r="M57">
        <v>0.34045714285714823</v>
      </c>
      <c r="N57">
        <v>0.34719696969697805</v>
      </c>
      <c r="O57">
        <f>_xlfn.XLOOKUP(S57, AnglePowerMatching!$H:$H, AnglePowerMatching!$C:$C, "NaN")</f>
        <v>26</v>
      </c>
      <c r="P57">
        <f>_xlfn.XLOOKUP(S57, AnglePowerMatching!$H:$H, AnglePowerMatching!$D:$D, "NaN")</f>
        <v>3</v>
      </c>
      <c r="Q57" t="b">
        <f t="shared" si="1"/>
        <v>1</v>
      </c>
      <c r="R57">
        <f>VALUE(_xlfn.TEXTBEFORE(A57, {"L","R"}, , , , A57))</f>
        <v>1031</v>
      </c>
      <c r="S57" t="str">
        <f t="shared" si="0"/>
        <v>103120260122</v>
      </c>
    </row>
    <row r="58" spans="1:19" x14ac:dyDescent="0.3">
      <c r="A58" t="s">
        <v>1</v>
      </c>
      <c r="B58" t="s">
        <v>56</v>
      </c>
      <c r="C58">
        <v>85.470085470085465</v>
      </c>
      <c r="D58">
        <v>77.310924369747909</v>
      </c>
      <c r="E58">
        <v>3</v>
      </c>
      <c r="F58">
        <v>1</v>
      </c>
      <c r="G58">
        <v>100</v>
      </c>
      <c r="H58">
        <v>92</v>
      </c>
      <c r="I58">
        <v>120</v>
      </c>
      <c r="J58">
        <v>120</v>
      </c>
      <c r="K58">
        <v>2.5</v>
      </c>
      <c r="L58">
        <v>0.83333333333333337</v>
      </c>
      <c r="M58">
        <v>0.36038000000000642</v>
      </c>
      <c r="N58">
        <v>0.35644565217390406</v>
      </c>
      <c r="O58">
        <f>_xlfn.XLOOKUP(S58, AnglePowerMatching!$H:$H, AnglePowerMatching!$C:$C, "NaN")</f>
        <v>26</v>
      </c>
      <c r="P58">
        <f>_xlfn.XLOOKUP(S58, AnglePowerMatching!$H:$H, AnglePowerMatching!$D:$D, "NaN")</f>
        <v>5</v>
      </c>
      <c r="Q58" t="b">
        <f t="shared" si="1"/>
        <v>1</v>
      </c>
      <c r="R58">
        <f>VALUE(_xlfn.TEXTBEFORE(A58, {"L","R"}, , , , A58))</f>
        <v>1031</v>
      </c>
      <c r="S58" t="str">
        <f t="shared" si="0"/>
        <v>103120260123</v>
      </c>
    </row>
    <row r="59" spans="1:19" x14ac:dyDescent="0.3">
      <c r="A59" t="s">
        <v>1</v>
      </c>
      <c r="B59" t="s">
        <v>72</v>
      </c>
      <c r="C59">
        <v>56.69291338582677</v>
      </c>
      <c r="D59">
        <v>59.055118110236215</v>
      </c>
      <c r="E59">
        <v>0</v>
      </c>
      <c r="F59">
        <v>0</v>
      </c>
      <c r="G59">
        <v>72</v>
      </c>
      <c r="H59">
        <v>75</v>
      </c>
      <c r="I59">
        <v>127</v>
      </c>
      <c r="J59">
        <v>127</v>
      </c>
      <c r="K59">
        <v>0</v>
      </c>
      <c r="L59">
        <v>0</v>
      </c>
      <c r="M59">
        <v>0.26084722222220985</v>
      </c>
      <c r="N59">
        <v>0.25201333333333792</v>
      </c>
      <c r="O59">
        <f>_xlfn.XLOOKUP(S59, AnglePowerMatching!$H:$H, AnglePowerMatching!$C:$C, "NaN")</f>
        <v>16</v>
      </c>
      <c r="P59">
        <f>_xlfn.XLOOKUP(S59, AnglePowerMatching!$H:$H, AnglePowerMatching!$D:$D, "NaN")</f>
        <v>3</v>
      </c>
      <c r="Q59" t="b">
        <f t="shared" si="1"/>
        <v>1</v>
      </c>
      <c r="R59">
        <f>VALUE(_xlfn.TEXTBEFORE(A59, {"L","R"}, , , , A59))</f>
        <v>1031</v>
      </c>
      <c r="S59" t="str">
        <f t="shared" si="0"/>
        <v>103120260202</v>
      </c>
    </row>
    <row r="60" spans="1:19" x14ac:dyDescent="0.3">
      <c r="A60" t="s">
        <v>1</v>
      </c>
      <c r="B60" t="s">
        <v>73</v>
      </c>
      <c r="C60">
        <v>74</v>
      </c>
      <c r="D60">
        <v>70</v>
      </c>
      <c r="E60">
        <v>20</v>
      </c>
      <c r="F60">
        <v>20</v>
      </c>
      <c r="G60">
        <v>74</v>
      </c>
      <c r="H60">
        <v>70</v>
      </c>
      <c r="I60">
        <v>120</v>
      </c>
      <c r="J60">
        <v>120</v>
      </c>
      <c r="K60">
        <v>16.666666666666664</v>
      </c>
      <c r="L60">
        <v>16.666666666666664</v>
      </c>
      <c r="M60">
        <v>0.64959459459458768</v>
      </c>
      <c r="N60">
        <v>0.59780000000000244</v>
      </c>
      <c r="O60">
        <f>_xlfn.XLOOKUP(S60, AnglePowerMatching!$H:$H, AnglePowerMatching!$C:$C, "NaN")</f>
        <v>16</v>
      </c>
      <c r="P60">
        <f>_xlfn.XLOOKUP(S60, AnglePowerMatching!$H:$H, AnglePowerMatching!$D:$D, "NaN")</f>
        <v>5</v>
      </c>
      <c r="Q60" t="b">
        <f t="shared" si="1"/>
        <v>1</v>
      </c>
      <c r="R60">
        <f>VALUE(_xlfn.TEXTBEFORE(A60, {"L","R"}, , , , A60))</f>
        <v>1031</v>
      </c>
      <c r="S60" t="str">
        <f t="shared" si="0"/>
        <v>103120260203</v>
      </c>
    </row>
    <row r="61" spans="1:19" x14ac:dyDescent="0.3">
      <c r="A61" t="s">
        <v>1</v>
      </c>
      <c r="B61" t="s">
        <v>74</v>
      </c>
      <c r="C61">
        <v>58.333333333333336</v>
      </c>
      <c r="D61">
        <v>58.82352941176471</v>
      </c>
      <c r="E61">
        <v>0</v>
      </c>
      <c r="F61">
        <v>1</v>
      </c>
      <c r="G61">
        <v>70</v>
      </c>
      <c r="H61">
        <v>70</v>
      </c>
      <c r="I61">
        <v>120</v>
      </c>
      <c r="J61">
        <v>120</v>
      </c>
      <c r="K61">
        <v>0</v>
      </c>
      <c r="L61">
        <v>0.83333333333333337</v>
      </c>
      <c r="M61">
        <v>0.29287142857142506</v>
      </c>
      <c r="N61">
        <v>0.28064285714286274</v>
      </c>
      <c r="O61">
        <f>_xlfn.XLOOKUP(S61, AnglePowerMatching!$H:$H, AnglePowerMatching!$C:$C, "NaN")</f>
        <v>16</v>
      </c>
      <c r="P61">
        <f>_xlfn.XLOOKUP(S61, AnglePowerMatching!$H:$H, AnglePowerMatching!$D:$D, "NaN")</f>
        <v>10</v>
      </c>
      <c r="Q61" t="b">
        <f t="shared" si="1"/>
        <v>1</v>
      </c>
      <c r="R61">
        <f>VALUE(_xlfn.TEXTBEFORE(A61, {"L","R"}, , , , A61))</f>
        <v>1031</v>
      </c>
      <c r="S61" t="str">
        <f t="shared" si="0"/>
        <v>103120260204</v>
      </c>
    </row>
    <row r="62" spans="1:19" x14ac:dyDescent="0.3">
      <c r="A62" t="s">
        <v>1</v>
      </c>
      <c r="B62" t="s">
        <v>75</v>
      </c>
      <c r="C62">
        <v>55.932203389830505</v>
      </c>
      <c r="D62">
        <v>55.833333333333336</v>
      </c>
      <c r="E62">
        <v>2</v>
      </c>
      <c r="F62">
        <v>0</v>
      </c>
      <c r="G62">
        <v>66</v>
      </c>
      <c r="H62">
        <v>67</v>
      </c>
      <c r="I62">
        <v>120</v>
      </c>
      <c r="J62">
        <v>120</v>
      </c>
      <c r="K62">
        <v>1.6666666666666667</v>
      </c>
      <c r="L62">
        <v>0</v>
      </c>
      <c r="M62">
        <v>0.31481818181819177</v>
      </c>
      <c r="N62">
        <v>0.31800000000000539</v>
      </c>
      <c r="O62">
        <f>_xlfn.XLOOKUP(S62, AnglePowerMatching!$H:$H, AnglePowerMatching!$C:$C, "NaN")</f>
        <v>16</v>
      </c>
      <c r="P62">
        <f>_xlfn.XLOOKUP(S62, AnglePowerMatching!$H:$H, AnglePowerMatching!$D:$D, "NaN")</f>
        <v>10</v>
      </c>
      <c r="Q62" t="b">
        <f t="shared" si="1"/>
        <v>1</v>
      </c>
      <c r="R62">
        <f>VALUE(_xlfn.TEXTBEFORE(A62, {"L","R"}, , , , A62))</f>
        <v>1031</v>
      </c>
      <c r="S62" t="str">
        <f t="shared" si="0"/>
        <v>103120260205</v>
      </c>
    </row>
    <row r="63" spans="1:19" x14ac:dyDescent="0.3">
      <c r="A63" t="s">
        <v>36</v>
      </c>
      <c r="B63" t="s">
        <v>60</v>
      </c>
      <c r="C63">
        <v>64.077669902912632</v>
      </c>
      <c r="D63">
        <v>57.142857142857139</v>
      </c>
      <c r="E63">
        <v>17</v>
      </c>
      <c r="F63">
        <v>22</v>
      </c>
      <c r="G63">
        <v>66</v>
      </c>
      <c r="H63">
        <v>56</v>
      </c>
      <c r="I63">
        <v>120</v>
      </c>
      <c r="J63">
        <v>120</v>
      </c>
      <c r="K63">
        <v>14.166666666666666</v>
      </c>
      <c r="L63">
        <v>18.333333333333332</v>
      </c>
      <c r="M63">
        <v>0.55377272727272797</v>
      </c>
      <c r="N63">
        <v>0.68228571428570817</v>
      </c>
      <c r="O63">
        <f>_xlfn.XLOOKUP(S63, AnglePowerMatching!$H:$H, AnglePowerMatching!$C:$C, "NaN")</f>
        <v>66</v>
      </c>
      <c r="P63">
        <f>_xlfn.XLOOKUP(S63, AnglePowerMatching!$H:$H, AnglePowerMatching!$D:$D, "NaN")</f>
        <v>3</v>
      </c>
      <c r="Q63" t="b">
        <f t="shared" si="1"/>
        <v>1</v>
      </c>
      <c r="R63">
        <f>VALUE(_xlfn.TEXTBEFORE(A63, {"L","R"}, , , , A63))</f>
        <v>1034</v>
      </c>
      <c r="S63" t="str">
        <f t="shared" si="0"/>
        <v>103420251015</v>
      </c>
    </row>
    <row r="64" spans="1:19" x14ac:dyDescent="0.3">
      <c r="A64" t="s">
        <v>36</v>
      </c>
      <c r="B64" t="s">
        <v>61</v>
      </c>
      <c r="C64">
        <v>77.118644067796609</v>
      </c>
      <c r="D64">
        <v>83.333333333333343</v>
      </c>
      <c r="E64">
        <v>2</v>
      </c>
      <c r="F64">
        <v>6</v>
      </c>
      <c r="G64">
        <v>91</v>
      </c>
      <c r="H64">
        <v>95</v>
      </c>
      <c r="I64">
        <v>120</v>
      </c>
      <c r="J64">
        <v>120</v>
      </c>
      <c r="K64">
        <v>1.6666666666666667</v>
      </c>
      <c r="L64">
        <v>5</v>
      </c>
      <c r="M64">
        <v>0.30271428571428866</v>
      </c>
      <c r="N64">
        <v>0.30140000000000938</v>
      </c>
      <c r="O64">
        <f>_xlfn.XLOOKUP(S64, AnglePowerMatching!$H:$H, AnglePowerMatching!$C:$C, "NaN")</f>
        <v>66</v>
      </c>
      <c r="P64">
        <f>_xlfn.XLOOKUP(S64, AnglePowerMatching!$H:$H, AnglePowerMatching!$D:$D, "NaN")</f>
        <v>5</v>
      </c>
      <c r="Q64" t="b">
        <f t="shared" si="1"/>
        <v>1</v>
      </c>
      <c r="R64">
        <f>VALUE(_xlfn.TEXTBEFORE(A64, {"L","R"}, , , , A64))</f>
        <v>1034</v>
      </c>
      <c r="S64" t="str">
        <f t="shared" si="0"/>
        <v>103420251016</v>
      </c>
    </row>
    <row r="65" spans="1:19" x14ac:dyDescent="0.3">
      <c r="A65" t="s">
        <v>36</v>
      </c>
      <c r="B65" t="s">
        <v>62</v>
      </c>
      <c r="C65">
        <v>75.221238938053091</v>
      </c>
      <c r="D65">
        <v>72.807017543859658</v>
      </c>
      <c r="E65">
        <v>7</v>
      </c>
      <c r="F65">
        <v>6</v>
      </c>
      <c r="G65">
        <v>85</v>
      </c>
      <c r="H65">
        <v>83</v>
      </c>
      <c r="I65">
        <v>120</v>
      </c>
      <c r="J65">
        <v>120</v>
      </c>
      <c r="K65">
        <v>5.833333333333333</v>
      </c>
      <c r="L65">
        <v>5</v>
      </c>
      <c r="M65">
        <v>0.34927058823528928</v>
      </c>
      <c r="N65">
        <v>0.38074698795181738</v>
      </c>
      <c r="O65">
        <f>_xlfn.XLOOKUP(S65, AnglePowerMatching!$H:$H, AnglePowerMatching!$C:$C, "NaN")</f>
        <v>66</v>
      </c>
      <c r="P65">
        <f>_xlfn.XLOOKUP(S65, AnglePowerMatching!$H:$H, AnglePowerMatching!$D:$D, "NaN")</f>
        <v>10</v>
      </c>
      <c r="Q65" t="b">
        <f t="shared" si="1"/>
        <v>1</v>
      </c>
      <c r="R65">
        <f>VALUE(_xlfn.TEXTBEFORE(A65, {"L","R"}, , , , A65))</f>
        <v>1034</v>
      </c>
      <c r="S65" t="str">
        <f t="shared" si="0"/>
        <v>103420251017</v>
      </c>
    </row>
    <row r="66" spans="1:19" x14ac:dyDescent="0.3">
      <c r="A66" t="s">
        <v>36</v>
      </c>
      <c r="B66" t="s">
        <v>63</v>
      </c>
      <c r="C66">
        <v>88.461538461538453</v>
      </c>
      <c r="D66">
        <v>90.825688073394488</v>
      </c>
      <c r="E66">
        <v>16</v>
      </c>
      <c r="F66">
        <v>11</v>
      </c>
      <c r="G66">
        <v>92</v>
      </c>
      <c r="H66">
        <v>99</v>
      </c>
      <c r="I66">
        <v>120</v>
      </c>
      <c r="J66">
        <v>120</v>
      </c>
      <c r="K66">
        <v>13.333333333333334</v>
      </c>
      <c r="L66">
        <v>9.1666666666666661</v>
      </c>
      <c r="M66">
        <v>0.34338043478259928</v>
      </c>
      <c r="N66">
        <v>0.34662626262626289</v>
      </c>
      <c r="O66">
        <f>_xlfn.XLOOKUP(S66, AnglePowerMatching!$H:$H, AnglePowerMatching!$C:$C, "NaN")</f>
        <v>66</v>
      </c>
      <c r="P66">
        <f>_xlfn.XLOOKUP(S66, AnglePowerMatching!$H:$H, AnglePowerMatching!$D:$D, "NaN")</f>
        <v>3</v>
      </c>
      <c r="Q66" t="b">
        <f t="shared" si="1"/>
        <v>1</v>
      </c>
      <c r="R66">
        <f>VALUE(_xlfn.TEXTBEFORE(A66, {"L","R"}, , , , A66))</f>
        <v>1034</v>
      </c>
      <c r="S66" t="str">
        <f t="shared" ref="S66:S129" si="2">R66 &amp; TEXT(B66, "yyyymmdd")</f>
        <v>103420251018</v>
      </c>
    </row>
    <row r="67" spans="1:19" x14ac:dyDescent="0.3">
      <c r="A67" t="s">
        <v>36</v>
      </c>
      <c r="B67" t="s">
        <v>131</v>
      </c>
      <c r="C67">
        <v>69.911504424778755</v>
      </c>
      <c r="D67">
        <v>63.559322033898304</v>
      </c>
      <c r="E67">
        <v>13</v>
      </c>
      <c r="F67">
        <v>8</v>
      </c>
      <c r="G67">
        <v>79</v>
      </c>
      <c r="H67">
        <v>75</v>
      </c>
      <c r="I67">
        <v>126</v>
      </c>
      <c r="J67">
        <v>126</v>
      </c>
      <c r="K67">
        <v>10.317460317460316</v>
      </c>
      <c r="L67">
        <v>6.3492063492063489</v>
      </c>
      <c r="M67">
        <v>0.38740506329114538</v>
      </c>
      <c r="N67">
        <v>0.36110666666667335</v>
      </c>
      <c r="O67" t="str">
        <f>_xlfn.XLOOKUP(S67, AnglePowerMatching!$H:$H, AnglePowerMatching!$C:$C, "NaN")</f>
        <v>NaN</v>
      </c>
      <c r="P67" t="str">
        <f>_xlfn.XLOOKUP(S67, AnglePowerMatching!$H:$H, AnglePowerMatching!$D:$D, "NaN")</f>
        <v>NaN</v>
      </c>
      <c r="Q67" t="b">
        <f t="shared" ref="Q67:Q130" si="3">NOT(OR(C67=0,D67=0))</f>
        <v>1</v>
      </c>
      <c r="R67">
        <f>VALUE(_xlfn.TEXTBEFORE(A67, {"L","R"}, , , , A67))</f>
        <v>1034</v>
      </c>
      <c r="S67" t="str">
        <f t="shared" si="2"/>
        <v>103420251019</v>
      </c>
    </row>
    <row r="68" spans="1:19" x14ac:dyDescent="0.3">
      <c r="A68" t="s">
        <v>36</v>
      </c>
      <c r="B68" t="s">
        <v>76</v>
      </c>
      <c r="C68">
        <v>75</v>
      </c>
      <c r="D68">
        <v>79.090909090909093</v>
      </c>
      <c r="E68">
        <v>9</v>
      </c>
      <c r="F68">
        <v>11</v>
      </c>
      <c r="G68">
        <v>84</v>
      </c>
      <c r="H68">
        <v>87</v>
      </c>
      <c r="I68">
        <v>121</v>
      </c>
      <c r="J68">
        <v>121</v>
      </c>
      <c r="K68">
        <v>7.4380165289256199</v>
      </c>
      <c r="L68">
        <v>9.0909090909090917</v>
      </c>
      <c r="M68">
        <v>0.29964285714285571</v>
      </c>
      <c r="N68">
        <v>0.28114942528734427</v>
      </c>
      <c r="O68">
        <f>_xlfn.XLOOKUP(S68, AnglePowerMatching!$H:$H, AnglePowerMatching!$C:$C, "NaN")</f>
        <v>90</v>
      </c>
      <c r="P68">
        <f>_xlfn.XLOOKUP(S68, AnglePowerMatching!$H:$H, AnglePowerMatching!$D:$D, "NaN")</f>
        <v>3</v>
      </c>
      <c r="Q68" t="b">
        <f t="shared" si="3"/>
        <v>1</v>
      </c>
      <c r="R68">
        <f>VALUE(_xlfn.TEXTBEFORE(A68, {"L","R"}, , , , A68))</f>
        <v>1034</v>
      </c>
      <c r="S68" t="str">
        <f t="shared" si="2"/>
        <v>103420251022</v>
      </c>
    </row>
    <row r="69" spans="1:19" x14ac:dyDescent="0.3">
      <c r="A69" t="s">
        <v>36</v>
      </c>
      <c r="B69" t="s">
        <v>77</v>
      </c>
      <c r="C69">
        <v>71.666666666666671</v>
      </c>
      <c r="D69">
        <v>68.333333333333329</v>
      </c>
      <c r="E69">
        <v>0</v>
      </c>
      <c r="F69">
        <v>0</v>
      </c>
      <c r="G69">
        <v>86</v>
      </c>
      <c r="H69">
        <v>82</v>
      </c>
      <c r="I69">
        <v>120</v>
      </c>
      <c r="J69">
        <v>120</v>
      </c>
      <c r="K69">
        <v>0</v>
      </c>
      <c r="L69">
        <v>0</v>
      </c>
      <c r="M69">
        <v>0.26077906976744386</v>
      </c>
      <c r="N69">
        <v>0.24396341463414412</v>
      </c>
      <c r="O69">
        <f>_xlfn.XLOOKUP(S69, AnglePowerMatching!$H:$H, AnglePowerMatching!$C:$C, "NaN")</f>
        <v>90</v>
      </c>
      <c r="P69">
        <f>_xlfn.XLOOKUP(S69, AnglePowerMatching!$H:$H, AnglePowerMatching!$D:$D, "NaN")</f>
        <v>5</v>
      </c>
      <c r="Q69" t="b">
        <f t="shared" si="3"/>
        <v>1</v>
      </c>
      <c r="R69">
        <f>VALUE(_xlfn.TEXTBEFORE(A69, {"L","R"}, , , , A69))</f>
        <v>1034</v>
      </c>
      <c r="S69" t="str">
        <f t="shared" si="2"/>
        <v>103420251023</v>
      </c>
    </row>
    <row r="70" spans="1:19" x14ac:dyDescent="0.3">
      <c r="A70" t="s">
        <v>36</v>
      </c>
      <c r="B70" t="s">
        <v>78</v>
      </c>
      <c r="C70">
        <v>62.5</v>
      </c>
      <c r="D70">
        <v>65</v>
      </c>
      <c r="E70">
        <v>0</v>
      </c>
      <c r="F70">
        <v>0</v>
      </c>
      <c r="G70">
        <v>75</v>
      </c>
      <c r="H70">
        <v>78</v>
      </c>
      <c r="I70">
        <v>120</v>
      </c>
      <c r="J70">
        <v>120</v>
      </c>
      <c r="K70">
        <v>0</v>
      </c>
      <c r="L70">
        <v>0</v>
      </c>
      <c r="M70">
        <v>0.22311999999998264</v>
      </c>
      <c r="N70">
        <v>0.22269230769230147</v>
      </c>
      <c r="O70">
        <f>_xlfn.XLOOKUP(S70, AnglePowerMatching!$H:$H, AnglePowerMatching!$C:$C, "NaN")</f>
        <v>90</v>
      </c>
      <c r="P70">
        <f>_xlfn.XLOOKUP(S70, AnglePowerMatching!$H:$H, AnglePowerMatching!$D:$D, "NaN")</f>
        <v>10</v>
      </c>
      <c r="Q70" t="b">
        <f t="shared" si="3"/>
        <v>1</v>
      </c>
      <c r="R70">
        <f>VALUE(_xlfn.TEXTBEFORE(A70, {"L","R"}, , , , A70))</f>
        <v>1034</v>
      </c>
      <c r="S70" t="str">
        <f t="shared" si="2"/>
        <v>103420251024</v>
      </c>
    </row>
    <row r="71" spans="1:19" x14ac:dyDescent="0.3">
      <c r="A71" t="s">
        <v>36</v>
      </c>
      <c r="B71" t="s">
        <v>79</v>
      </c>
      <c r="C71">
        <v>72.807017543859658</v>
      </c>
      <c r="D71">
        <v>69.298245614035096</v>
      </c>
      <c r="E71">
        <v>6</v>
      </c>
      <c r="F71">
        <v>6</v>
      </c>
      <c r="G71">
        <v>83</v>
      </c>
      <c r="H71">
        <v>79</v>
      </c>
      <c r="I71">
        <v>120</v>
      </c>
      <c r="J71">
        <v>120</v>
      </c>
      <c r="K71">
        <v>5</v>
      </c>
      <c r="L71">
        <v>5</v>
      </c>
      <c r="M71">
        <v>0.28625301204819481</v>
      </c>
      <c r="N71">
        <v>0.27969620253163718</v>
      </c>
      <c r="O71">
        <f>_xlfn.XLOOKUP(S71, AnglePowerMatching!$H:$H, AnglePowerMatching!$C:$C, "NaN")</f>
        <v>35</v>
      </c>
      <c r="P71">
        <f>_xlfn.XLOOKUP(S71, AnglePowerMatching!$H:$H, AnglePowerMatching!$D:$D, "NaN")</f>
        <v>3</v>
      </c>
      <c r="Q71" t="b">
        <f t="shared" si="3"/>
        <v>1</v>
      </c>
      <c r="R71">
        <f>VALUE(_xlfn.TEXTBEFORE(A71, {"L","R"}, , , , A71))</f>
        <v>1034</v>
      </c>
      <c r="S71" t="str">
        <f t="shared" si="2"/>
        <v>103420251029</v>
      </c>
    </row>
    <row r="72" spans="1:19" x14ac:dyDescent="0.3">
      <c r="A72" t="s">
        <v>36</v>
      </c>
      <c r="B72" t="s">
        <v>80</v>
      </c>
      <c r="C72">
        <v>73.94957983193278</v>
      </c>
      <c r="D72">
        <v>67.5</v>
      </c>
      <c r="E72">
        <v>1</v>
      </c>
      <c r="F72">
        <v>0</v>
      </c>
      <c r="G72">
        <v>88</v>
      </c>
      <c r="H72">
        <v>81</v>
      </c>
      <c r="I72">
        <v>120</v>
      </c>
      <c r="J72">
        <v>120</v>
      </c>
      <c r="K72">
        <v>0.83333333333333337</v>
      </c>
      <c r="L72">
        <v>0</v>
      </c>
      <c r="M72">
        <v>0.22678409090908991</v>
      </c>
      <c r="N72">
        <v>0.22533333333332248</v>
      </c>
      <c r="O72">
        <f>_xlfn.XLOOKUP(S72, AnglePowerMatching!$H:$H, AnglePowerMatching!$C:$C, "NaN")</f>
        <v>35</v>
      </c>
      <c r="P72">
        <f>_xlfn.XLOOKUP(S72, AnglePowerMatching!$H:$H, AnglePowerMatching!$D:$D, "NaN")</f>
        <v>5</v>
      </c>
      <c r="Q72" t="b">
        <f t="shared" si="3"/>
        <v>1</v>
      </c>
      <c r="R72">
        <f>VALUE(_xlfn.TEXTBEFORE(A72, {"L","R"}, , , , A72))</f>
        <v>1034</v>
      </c>
      <c r="S72" t="str">
        <f t="shared" si="2"/>
        <v>103420251030</v>
      </c>
    </row>
    <row r="73" spans="1:19" x14ac:dyDescent="0.3">
      <c r="A73" t="s">
        <v>36</v>
      </c>
      <c r="B73" t="s">
        <v>81</v>
      </c>
      <c r="C73">
        <v>74.576271186440678</v>
      </c>
      <c r="D73">
        <v>80</v>
      </c>
      <c r="E73">
        <v>2</v>
      </c>
      <c r="F73">
        <v>0</v>
      </c>
      <c r="G73">
        <v>88</v>
      </c>
      <c r="H73">
        <v>96</v>
      </c>
      <c r="I73">
        <v>120</v>
      </c>
      <c r="J73">
        <v>120</v>
      </c>
      <c r="K73">
        <v>1.6666666666666667</v>
      </c>
      <c r="L73">
        <v>0</v>
      </c>
      <c r="M73">
        <v>0.29272727272727311</v>
      </c>
      <c r="N73">
        <v>0.27660416666667109</v>
      </c>
      <c r="O73">
        <f>_xlfn.XLOOKUP(S73, AnglePowerMatching!$H:$H, AnglePowerMatching!$C:$C, "NaN")</f>
        <v>35</v>
      </c>
      <c r="P73">
        <f>_xlfn.XLOOKUP(S73, AnglePowerMatching!$H:$H, AnglePowerMatching!$D:$D, "NaN")</f>
        <v>10</v>
      </c>
      <c r="Q73" t="b">
        <f t="shared" si="3"/>
        <v>1</v>
      </c>
      <c r="R73">
        <f>VALUE(_xlfn.TEXTBEFORE(A73, {"L","R"}, , , , A73))</f>
        <v>1034</v>
      </c>
      <c r="S73" t="str">
        <f t="shared" si="2"/>
        <v>103420251101</v>
      </c>
    </row>
    <row r="74" spans="1:19" x14ac:dyDescent="0.3">
      <c r="A74" t="s">
        <v>36</v>
      </c>
      <c r="B74" t="s">
        <v>69</v>
      </c>
      <c r="C74">
        <v>88.034188034188034</v>
      </c>
      <c r="D74">
        <v>94.915254237288138</v>
      </c>
      <c r="E74">
        <v>3</v>
      </c>
      <c r="F74">
        <v>2</v>
      </c>
      <c r="G74">
        <v>103</v>
      </c>
      <c r="H74">
        <v>112</v>
      </c>
      <c r="I74">
        <v>120</v>
      </c>
      <c r="J74">
        <v>120</v>
      </c>
      <c r="K74">
        <v>2.5</v>
      </c>
      <c r="L74">
        <v>1.6666666666666667</v>
      </c>
      <c r="M74">
        <v>0.48069902912620865</v>
      </c>
      <c r="N74">
        <v>0.48172321428571452</v>
      </c>
      <c r="O74" t="str">
        <f>_xlfn.XLOOKUP(S74, AnglePowerMatching!$H:$H, AnglePowerMatching!$C:$C, "NaN")</f>
        <v>NaN</v>
      </c>
      <c r="P74" t="str">
        <f>_xlfn.XLOOKUP(S74, AnglePowerMatching!$H:$H, AnglePowerMatching!$D:$D, "NaN")</f>
        <v>NaN</v>
      </c>
      <c r="Q74" t="b">
        <f t="shared" si="3"/>
        <v>1</v>
      </c>
      <c r="R74">
        <f>VALUE(_xlfn.TEXTBEFORE(A74, {"L","R"}, , , , A74))</f>
        <v>1034</v>
      </c>
      <c r="S74" t="str">
        <f t="shared" si="2"/>
        <v>103420251104</v>
      </c>
    </row>
    <row r="75" spans="1:19" x14ac:dyDescent="0.3">
      <c r="A75" t="s">
        <v>36</v>
      </c>
      <c r="B75" t="s">
        <v>69</v>
      </c>
      <c r="C75">
        <v>93.181818181818173</v>
      </c>
      <c r="D75">
        <v>66.666666666666657</v>
      </c>
      <c r="E75">
        <v>76</v>
      </c>
      <c r="F75">
        <v>84</v>
      </c>
      <c r="G75">
        <v>41</v>
      </c>
      <c r="H75">
        <v>24</v>
      </c>
      <c r="I75">
        <v>120</v>
      </c>
      <c r="J75">
        <v>120</v>
      </c>
      <c r="K75">
        <v>63.333333333333329</v>
      </c>
      <c r="L75">
        <v>70</v>
      </c>
      <c r="M75">
        <v>1.8394390243902334</v>
      </c>
      <c r="N75">
        <v>1.0052916666666956</v>
      </c>
      <c r="O75" t="str">
        <f>_xlfn.XLOOKUP(S75, AnglePowerMatching!$H:$H, AnglePowerMatching!$C:$C, "NaN")</f>
        <v>NaN</v>
      </c>
      <c r="P75" t="str">
        <f>_xlfn.XLOOKUP(S75, AnglePowerMatching!$H:$H, AnglePowerMatching!$D:$D, "NaN")</f>
        <v>NaN</v>
      </c>
      <c r="Q75" t="b">
        <f t="shared" si="3"/>
        <v>1</v>
      </c>
      <c r="R75">
        <f>VALUE(_xlfn.TEXTBEFORE(A75, {"L","R"}, , , , A75))</f>
        <v>1034</v>
      </c>
      <c r="S75" t="str">
        <f t="shared" si="2"/>
        <v>103420251104</v>
      </c>
    </row>
    <row r="76" spans="1:19" x14ac:dyDescent="0.3">
      <c r="A76" t="s">
        <v>36</v>
      </c>
      <c r="B76" t="s">
        <v>82</v>
      </c>
      <c r="C76">
        <v>66.386554621848731</v>
      </c>
      <c r="D76">
        <v>68.907563025210081</v>
      </c>
      <c r="E76">
        <v>1</v>
      </c>
      <c r="F76">
        <v>1</v>
      </c>
      <c r="G76">
        <v>79</v>
      </c>
      <c r="H76">
        <v>82</v>
      </c>
      <c r="I76">
        <v>120</v>
      </c>
      <c r="J76">
        <v>120</v>
      </c>
      <c r="K76">
        <v>0.83333333333333337</v>
      </c>
      <c r="L76">
        <v>0.83333333333333337</v>
      </c>
      <c r="M76">
        <v>0.24649367088608407</v>
      </c>
      <c r="N76">
        <v>0.27870731707317775</v>
      </c>
      <c r="O76">
        <f>_xlfn.XLOOKUP(S76, AnglePowerMatching!$H:$H, AnglePowerMatching!$C:$C, "NaN")</f>
        <v>26</v>
      </c>
      <c r="P76">
        <f>_xlfn.XLOOKUP(S76, AnglePowerMatching!$H:$H, AnglePowerMatching!$D:$D, "NaN")</f>
        <v>3</v>
      </c>
      <c r="Q76" t="b">
        <f t="shared" si="3"/>
        <v>1</v>
      </c>
      <c r="R76">
        <f>VALUE(_xlfn.TEXTBEFORE(A76, {"L","R"}, , , , A76))</f>
        <v>1034</v>
      </c>
      <c r="S76" t="str">
        <f t="shared" si="2"/>
        <v>103420251106</v>
      </c>
    </row>
    <row r="77" spans="1:19" x14ac:dyDescent="0.3">
      <c r="A77" t="s">
        <v>36</v>
      </c>
      <c r="B77" t="s">
        <v>83</v>
      </c>
      <c r="C77">
        <v>60.833333333333329</v>
      </c>
      <c r="D77">
        <v>65.833333333333329</v>
      </c>
      <c r="E77">
        <v>0</v>
      </c>
      <c r="F77">
        <v>0</v>
      </c>
      <c r="G77">
        <v>73</v>
      </c>
      <c r="H77">
        <v>79</v>
      </c>
      <c r="I77">
        <v>120</v>
      </c>
      <c r="J77">
        <v>120</v>
      </c>
      <c r="K77">
        <v>0</v>
      </c>
      <c r="L77">
        <v>0</v>
      </c>
      <c r="M77">
        <v>0.23875342465753724</v>
      </c>
      <c r="N77">
        <v>0.22867088607595965</v>
      </c>
      <c r="O77">
        <f>_xlfn.XLOOKUP(S77, AnglePowerMatching!$H:$H, AnglePowerMatching!$C:$C, "NaN")</f>
        <v>26</v>
      </c>
      <c r="P77">
        <f>_xlfn.XLOOKUP(S77, AnglePowerMatching!$H:$H, AnglePowerMatching!$D:$D, "NaN")</f>
        <v>5</v>
      </c>
      <c r="Q77" t="b">
        <f t="shared" si="3"/>
        <v>1</v>
      </c>
      <c r="R77">
        <f>VALUE(_xlfn.TEXTBEFORE(A77, {"L","R"}, , , , A77))</f>
        <v>1034</v>
      </c>
      <c r="S77" t="str">
        <f t="shared" si="2"/>
        <v>103420251107</v>
      </c>
    </row>
    <row r="78" spans="1:19" x14ac:dyDescent="0.3">
      <c r="A78" t="s">
        <v>36</v>
      </c>
      <c r="B78" t="s">
        <v>84</v>
      </c>
      <c r="C78">
        <v>66.34615384615384</v>
      </c>
      <c r="D78">
        <v>58.415841584158414</v>
      </c>
      <c r="E78">
        <v>16</v>
      </c>
      <c r="F78">
        <v>19</v>
      </c>
      <c r="G78">
        <v>69</v>
      </c>
      <c r="H78">
        <v>59</v>
      </c>
      <c r="I78">
        <v>120</v>
      </c>
      <c r="J78">
        <v>120</v>
      </c>
      <c r="K78">
        <v>13.333333333333334</v>
      </c>
      <c r="L78">
        <v>15.833333333333332</v>
      </c>
      <c r="M78">
        <v>0.33892753623187949</v>
      </c>
      <c r="N78">
        <v>0.31208474576272266</v>
      </c>
      <c r="O78">
        <f>_xlfn.XLOOKUP(S78, AnglePowerMatching!$H:$H, AnglePowerMatching!$C:$C, "NaN")</f>
        <v>26</v>
      </c>
      <c r="P78">
        <f>_xlfn.XLOOKUP(S78, AnglePowerMatching!$H:$H, AnglePowerMatching!$D:$D, "NaN")</f>
        <v>10</v>
      </c>
      <c r="Q78" t="b">
        <f t="shared" si="3"/>
        <v>1</v>
      </c>
      <c r="R78">
        <f>VALUE(_xlfn.TEXTBEFORE(A78, {"L","R"}, , , , A78))</f>
        <v>1034</v>
      </c>
      <c r="S78" t="str">
        <f t="shared" si="2"/>
        <v>103420251108</v>
      </c>
    </row>
    <row r="79" spans="1:19" x14ac:dyDescent="0.3">
      <c r="A79" t="s">
        <v>36</v>
      </c>
      <c r="B79" t="s">
        <v>144</v>
      </c>
      <c r="C79">
        <v>60</v>
      </c>
      <c r="D79">
        <v>60.833333333333329</v>
      </c>
      <c r="E79">
        <v>2</v>
      </c>
      <c r="F79">
        <v>0</v>
      </c>
      <c r="G79">
        <v>72</v>
      </c>
      <c r="H79">
        <v>73</v>
      </c>
      <c r="I79">
        <v>122</v>
      </c>
      <c r="J79">
        <v>120</v>
      </c>
      <c r="K79">
        <v>1.639344262295082</v>
      </c>
      <c r="L79">
        <v>0</v>
      </c>
      <c r="M79">
        <v>0.31681944444444682</v>
      </c>
      <c r="N79">
        <v>0.32584931506849535</v>
      </c>
      <c r="O79">
        <f>_xlfn.XLOOKUP(S79, AnglePowerMatching!$H:$H, AnglePowerMatching!$C:$C, "NaN")</f>
        <v>16</v>
      </c>
      <c r="P79">
        <f>_xlfn.XLOOKUP(S79, AnglePowerMatching!$H:$H, AnglePowerMatching!$D:$D, "NaN")</f>
        <v>3</v>
      </c>
      <c r="Q79" t="b">
        <f t="shared" si="3"/>
        <v>1</v>
      </c>
      <c r="R79">
        <f>VALUE(_xlfn.TEXTBEFORE(A79, {"L","R"}, , , , A79))</f>
        <v>1034</v>
      </c>
      <c r="S79" t="str">
        <f t="shared" si="2"/>
        <v>103420251113</v>
      </c>
    </row>
    <row r="80" spans="1:19" x14ac:dyDescent="0.3">
      <c r="A80" t="s">
        <v>36</v>
      </c>
      <c r="B80" t="s">
        <v>145</v>
      </c>
      <c r="C80">
        <v>62.931034482758619</v>
      </c>
      <c r="D80">
        <v>68.644067796610159</v>
      </c>
      <c r="E80">
        <v>4</v>
      </c>
      <c r="F80">
        <v>2</v>
      </c>
      <c r="G80">
        <v>73</v>
      </c>
      <c r="H80">
        <v>81</v>
      </c>
      <c r="I80">
        <v>120</v>
      </c>
      <c r="J80">
        <v>120</v>
      </c>
      <c r="K80">
        <v>3.3333333333333335</v>
      </c>
      <c r="L80">
        <v>1.6666666666666667</v>
      </c>
      <c r="M80">
        <v>0.31346575342466526</v>
      </c>
      <c r="N80">
        <v>0.31103703703704716</v>
      </c>
      <c r="O80">
        <f>_xlfn.XLOOKUP(S80, AnglePowerMatching!$H:$H, AnglePowerMatching!$C:$C, "NaN")</f>
        <v>16</v>
      </c>
      <c r="P80">
        <f>_xlfn.XLOOKUP(S80, AnglePowerMatching!$H:$H, AnglePowerMatching!$D:$D, "NaN")</f>
        <v>5</v>
      </c>
      <c r="Q80" t="b">
        <f t="shared" si="3"/>
        <v>1</v>
      </c>
      <c r="R80">
        <f>VALUE(_xlfn.TEXTBEFORE(A80, {"L","R"}, , , , A80))</f>
        <v>1034</v>
      </c>
      <c r="S80" t="str">
        <f t="shared" si="2"/>
        <v>103420251114</v>
      </c>
    </row>
    <row r="81" spans="1:19" x14ac:dyDescent="0.3">
      <c r="A81" t="s">
        <v>36</v>
      </c>
      <c r="B81" t="s">
        <v>141</v>
      </c>
      <c r="C81">
        <v>75.423728813559322</v>
      </c>
      <c r="D81">
        <v>77.58620689655173</v>
      </c>
      <c r="E81">
        <v>2</v>
      </c>
      <c r="F81">
        <v>4</v>
      </c>
      <c r="G81">
        <v>89</v>
      </c>
      <c r="H81">
        <v>90</v>
      </c>
      <c r="I81">
        <v>120</v>
      </c>
      <c r="J81">
        <v>120</v>
      </c>
      <c r="K81">
        <v>1.6666666666666667</v>
      </c>
      <c r="L81">
        <v>3.3333333333333335</v>
      </c>
      <c r="M81">
        <v>0.44644943820224603</v>
      </c>
      <c r="N81">
        <v>0.43214444444444222</v>
      </c>
      <c r="O81">
        <f>_xlfn.XLOOKUP(S81, AnglePowerMatching!$H:$H, AnglePowerMatching!$C:$C, "NaN")</f>
        <v>16</v>
      </c>
      <c r="P81">
        <f>_xlfn.XLOOKUP(S81, AnglePowerMatching!$H:$H, AnglePowerMatching!$D:$D, "NaN")</f>
        <v>3</v>
      </c>
      <c r="Q81" t="b">
        <f t="shared" si="3"/>
        <v>1</v>
      </c>
      <c r="R81">
        <f>VALUE(_xlfn.TEXTBEFORE(A81, {"L","R"}, , , , A81))</f>
        <v>1034</v>
      </c>
      <c r="S81" t="str">
        <f t="shared" si="2"/>
        <v>103420251117</v>
      </c>
    </row>
    <row r="82" spans="1:19" x14ac:dyDescent="0.3">
      <c r="A82" t="s">
        <v>36</v>
      </c>
      <c r="B82" t="s">
        <v>142</v>
      </c>
      <c r="C82">
        <v>84.87394957983193</v>
      </c>
      <c r="D82">
        <v>81.034482758620683</v>
      </c>
      <c r="E82">
        <v>1</v>
      </c>
      <c r="F82">
        <v>4</v>
      </c>
      <c r="G82">
        <v>101</v>
      </c>
      <c r="H82">
        <v>94</v>
      </c>
      <c r="I82">
        <v>120</v>
      </c>
      <c r="J82">
        <v>120</v>
      </c>
      <c r="K82">
        <v>0.83333333333333337</v>
      </c>
      <c r="L82">
        <v>3.3333333333333335</v>
      </c>
      <c r="M82">
        <v>0.42664356435643136</v>
      </c>
      <c r="N82">
        <v>0.41534042553192724</v>
      </c>
      <c r="O82">
        <f>_xlfn.XLOOKUP(S82, AnglePowerMatching!$H:$H, AnglePowerMatching!$C:$C, "NaN")</f>
        <v>16</v>
      </c>
      <c r="P82">
        <f>_xlfn.XLOOKUP(S82, AnglePowerMatching!$H:$H, AnglePowerMatching!$D:$D, "NaN")</f>
        <v>5</v>
      </c>
      <c r="Q82" t="b">
        <f t="shared" si="3"/>
        <v>1</v>
      </c>
      <c r="R82">
        <f>VALUE(_xlfn.TEXTBEFORE(A82, {"L","R"}, , , , A82))</f>
        <v>1034</v>
      </c>
      <c r="S82" t="str">
        <f t="shared" si="2"/>
        <v>103420251118</v>
      </c>
    </row>
    <row r="83" spans="1:19" x14ac:dyDescent="0.3">
      <c r="A83" t="s">
        <v>36</v>
      </c>
      <c r="B83" t="s">
        <v>143</v>
      </c>
      <c r="C83">
        <v>70.588235294117652</v>
      </c>
      <c r="D83">
        <v>70.085470085470078</v>
      </c>
      <c r="E83">
        <v>1</v>
      </c>
      <c r="F83">
        <v>3</v>
      </c>
      <c r="G83">
        <v>84</v>
      </c>
      <c r="H83">
        <v>82</v>
      </c>
      <c r="I83">
        <v>120</v>
      </c>
      <c r="J83">
        <v>120</v>
      </c>
      <c r="K83">
        <v>0.83333333333333337</v>
      </c>
      <c r="L83">
        <v>2.5</v>
      </c>
      <c r="M83">
        <v>0.32036904761904833</v>
      </c>
      <c r="N83">
        <v>0.34531707317073568</v>
      </c>
      <c r="O83">
        <f>_xlfn.XLOOKUP(S83, AnglePowerMatching!$H:$H, AnglePowerMatching!$C:$C, "NaN")</f>
        <v>16</v>
      </c>
      <c r="P83">
        <f>_xlfn.XLOOKUP(S83, AnglePowerMatching!$H:$H, AnglePowerMatching!$D:$D, "NaN")</f>
        <v>10</v>
      </c>
      <c r="Q83" t="b">
        <f t="shared" si="3"/>
        <v>1</v>
      </c>
      <c r="R83">
        <f>VALUE(_xlfn.TEXTBEFORE(A83, {"L","R"}, , , , A83))</f>
        <v>1034</v>
      </c>
      <c r="S83" t="str">
        <f t="shared" si="2"/>
        <v>103420251119</v>
      </c>
    </row>
    <row r="84" spans="1:19" x14ac:dyDescent="0.3">
      <c r="A84" t="s">
        <v>36</v>
      </c>
      <c r="B84" t="s">
        <v>45</v>
      </c>
      <c r="C84">
        <v>49.193548387096776</v>
      </c>
      <c r="D84">
        <v>51.639344262295083</v>
      </c>
      <c r="E84">
        <v>0</v>
      </c>
      <c r="F84">
        <v>1</v>
      </c>
      <c r="G84">
        <v>61</v>
      </c>
      <c r="H84">
        <v>63</v>
      </c>
      <c r="I84">
        <v>124</v>
      </c>
      <c r="J84">
        <v>123</v>
      </c>
      <c r="K84">
        <v>0</v>
      </c>
      <c r="L84">
        <v>0.81300813008130091</v>
      </c>
      <c r="M84">
        <v>0.19740983606556808</v>
      </c>
      <c r="N84">
        <v>0.18620634920635371</v>
      </c>
      <c r="O84">
        <f>_xlfn.XLOOKUP(S84, AnglePowerMatching!$H:$H, AnglePowerMatching!$C:$C, "NaN")</f>
        <v>66</v>
      </c>
      <c r="P84" t="str">
        <f>_xlfn.XLOOKUP(S84, AnglePowerMatching!$H:$H, AnglePowerMatching!$D:$D, "NaN")</f>
        <v>3 masker</v>
      </c>
      <c r="Q84" t="b">
        <f t="shared" si="3"/>
        <v>1</v>
      </c>
      <c r="R84">
        <f>VALUE(_xlfn.TEXTBEFORE(A84, {"L","R"}, , , , A84))</f>
        <v>1034</v>
      </c>
      <c r="S84" t="str">
        <f t="shared" si="2"/>
        <v>103420251215</v>
      </c>
    </row>
    <row r="85" spans="1:19" x14ac:dyDescent="0.3">
      <c r="A85" t="s">
        <v>36</v>
      </c>
      <c r="B85" t="s">
        <v>46</v>
      </c>
      <c r="C85">
        <v>0</v>
      </c>
      <c r="E85">
        <v>119</v>
      </c>
      <c r="F85">
        <v>120</v>
      </c>
      <c r="G85">
        <v>0</v>
      </c>
      <c r="H85">
        <v>0</v>
      </c>
      <c r="I85">
        <v>120</v>
      </c>
      <c r="J85">
        <v>120</v>
      </c>
      <c r="K85">
        <v>99.166666666666671</v>
      </c>
      <c r="L85">
        <v>100</v>
      </c>
      <c r="O85" t="str">
        <f>_xlfn.XLOOKUP(S85, AnglePowerMatching!$H:$H, AnglePowerMatching!$C:$C, "NaN")</f>
        <v>NaN</v>
      </c>
      <c r="P85" t="str">
        <f>_xlfn.XLOOKUP(S85, AnglePowerMatching!$H:$H, AnglePowerMatching!$D:$D, "NaN")</f>
        <v>NaN</v>
      </c>
      <c r="Q85" t="b">
        <f t="shared" si="3"/>
        <v>0</v>
      </c>
      <c r="R85">
        <f>VALUE(_xlfn.TEXTBEFORE(A85, {"L","R"}, , , , A85))</f>
        <v>1034</v>
      </c>
      <c r="S85" t="str">
        <f t="shared" si="2"/>
        <v>103420251216</v>
      </c>
    </row>
    <row r="86" spans="1:19" x14ac:dyDescent="0.3">
      <c r="A86" t="s">
        <v>36</v>
      </c>
      <c r="B86" t="s">
        <v>47</v>
      </c>
      <c r="C86">
        <v>59.663865546218489</v>
      </c>
      <c r="D86">
        <v>62.5</v>
      </c>
      <c r="E86">
        <v>1</v>
      </c>
      <c r="F86">
        <v>0</v>
      </c>
      <c r="G86">
        <v>71</v>
      </c>
      <c r="H86">
        <v>75</v>
      </c>
      <c r="I86">
        <v>120</v>
      </c>
      <c r="J86">
        <v>120</v>
      </c>
      <c r="K86">
        <v>0.83333333333333337</v>
      </c>
      <c r="L86">
        <v>0</v>
      </c>
      <c r="M86">
        <v>0.22409859154928605</v>
      </c>
      <c r="N86">
        <v>0.24790666666668451</v>
      </c>
      <c r="O86">
        <f>_xlfn.XLOOKUP(S86, AnglePowerMatching!$H:$H, AnglePowerMatching!$C:$C, "NaN")</f>
        <v>66</v>
      </c>
      <c r="P86">
        <f>_xlfn.XLOOKUP(S86, AnglePowerMatching!$H:$H, AnglePowerMatching!$D:$D, "NaN")</f>
        <v>10</v>
      </c>
      <c r="Q86" t="b">
        <f t="shared" si="3"/>
        <v>1</v>
      </c>
      <c r="R86">
        <f>VALUE(_xlfn.TEXTBEFORE(A86, {"L","R"}, , , , A86))</f>
        <v>1034</v>
      </c>
      <c r="S86" t="str">
        <f t="shared" si="2"/>
        <v>103420251217</v>
      </c>
    </row>
    <row r="87" spans="1:19" x14ac:dyDescent="0.3">
      <c r="A87" t="s">
        <v>36</v>
      </c>
      <c r="B87" t="s">
        <v>48</v>
      </c>
      <c r="C87">
        <v>58.333333333333336</v>
      </c>
      <c r="D87">
        <v>56.666666666666664</v>
      </c>
      <c r="E87">
        <v>0</v>
      </c>
      <c r="F87">
        <v>0</v>
      </c>
      <c r="G87">
        <v>70</v>
      </c>
      <c r="H87">
        <v>68</v>
      </c>
      <c r="I87">
        <v>120</v>
      </c>
      <c r="J87">
        <v>120</v>
      </c>
      <c r="K87">
        <v>0</v>
      </c>
      <c r="L87">
        <v>0</v>
      </c>
      <c r="M87">
        <v>0.19927142857142843</v>
      </c>
      <c r="N87">
        <v>0.18492647058823472</v>
      </c>
      <c r="O87">
        <f>_xlfn.XLOOKUP(S87, AnglePowerMatching!$H:$H, AnglePowerMatching!$C:$C, "NaN")</f>
        <v>66</v>
      </c>
      <c r="P87">
        <f>_xlfn.XLOOKUP(S87, AnglePowerMatching!$H:$H, AnglePowerMatching!$D:$D, "NaN")</f>
        <v>3</v>
      </c>
      <c r="Q87" t="b">
        <f t="shared" si="3"/>
        <v>1</v>
      </c>
      <c r="R87">
        <f>VALUE(_xlfn.TEXTBEFORE(A87, {"L","R"}, , , , A87))</f>
        <v>1034</v>
      </c>
      <c r="S87" t="str">
        <f t="shared" si="2"/>
        <v>103420251218</v>
      </c>
    </row>
    <row r="88" spans="1:19" x14ac:dyDescent="0.3">
      <c r="A88" t="s">
        <v>36</v>
      </c>
      <c r="B88" t="s">
        <v>50</v>
      </c>
      <c r="C88">
        <v>52.205882352941181</v>
      </c>
      <c r="D88">
        <v>50.735294117647058</v>
      </c>
      <c r="E88">
        <v>0</v>
      </c>
      <c r="F88">
        <v>0</v>
      </c>
      <c r="G88">
        <v>71</v>
      </c>
      <c r="H88">
        <v>69</v>
      </c>
      <c r="I88">
        <v>136</v>
      </c>
      <c r="J88">
        <v>136</v>
      </c>
      <c r="K88">
        <v>0</v>
      </c>
      <c r="L88">
        <v>0</v>
      </c>
      <c r="M88">
        <v>0.20602816901407164</v>
      </c>
      <c r="N88">
        <v>0.19060869565217126</v>
      </c>
      <c r="O88">
        <f>_xlfn.XLOOKUP(S88, AnglePowerMatching!$H:$H, AnglePowerMatching!$C:$C, "NaN")</f>
        <v>66</v>
      </c>
      <c r="P88" t="str">
        <f>_xlfn.XLOOKUP(S88, AnglePowerMatching!$H:$H, AnglePowerMatching!$D:$D, "NaN")</f>
        <v>5 masker</v>
      </c>
      <c r="Q88" t="b">
        <f t="shared" si="3"/>
        <v>1</v>
      </c>
      <c r="R88">
        <f>VALUE(_xlfn.TEXTBEFORE(A88, {"L","R"}, , , , A88))</f>
        <v>1034</v>
      </c>
      <c r="S88" t="str">
        <f t="shared" si="2"/>
        <v>103420251231</v>
      </c>
    </row>
    <row r="89" spans="1:19" x14ac:dyDescent="0.3">
      <c r="A89" t="s">
        <v>36</v>
      </c>
      <c r="B89" t="s">
        <v>85</v>
      </c>
      <c r="C89">
        <v>61.666666666666671</v>
      </c>
      <c r="D89">
        <v>61.016949152542374</v>
      </c>
      <c r="E89">
        <v>0</v>
      </c>
      <c r="F89">
        <v>2</v>
      </c>
      <c r="G89">
        <v>74</v>
      </c>
      <c r="H89">
        <v>72</v>
      </c>
      <c r="I89">
        <v>120</v>
      </c>
      <c r="J89">
        <v>120</v>
      </c>
      <c r="K89">
        <v>0</v>
      </c>
      <c r="L89">
        <v>1.6666666666666667</v>
      </c>
      <c r="M89">
        <v>0.28716216216215723</v>
      </c>
      <c r="N89">
        <v>0.28869444444444775</v>
      </c>
      <c r="O89">
        <f>_xlfn.XLOOKUP(S89, AnglePowerMatching!$H:$H, AnglePowerMatching!$C:$C, "NaN")</f>
        <v>66</v>
      </c>
      <c r="P89" t="str">
        <f>_xlfn.XLOOKUP(S89, AnglePowerMatching!$H:$H, AnglePowerMatching!$D:$D, "NaN")</f>
        <v>3 masker</v>
      </c>
      <c r="Q89" t="b">
        <f t="shared" si="3"/>
        <v>1</v>
      </c>
      <c r="R89">
        <f>VALUE(_xlfn.TEXTBEFORE(A89, {"L","R"}, , , , A89))</f>
        <v>1034</v>
      </c>
      <c r="S89" t="str">
        <f t="shared" si="2"/>
        <v>103420260113</v>
      </c>
    </row>
    <row r="90" spans="1:19" x14ac:dyDescent="0.3">
      <c r="A90" t="s">
        <v>36</v>
      </c>
      <c r="B90" t="s">
        <v>86</v>
      </c>
      <c r="C90">
        <v>49.586776859504134</v>
      </c>
      <c r="D90">
        <v>59.166666666666664</v>
      </c>
      <c r="E90">
        <v>0</v>
      </c>
      <c r="F90">
        <v>0</v>
      </c>
      <c r="G90">
        <v>60</v>
      </c>
      <c r="H90">
        <v>71</v>
      </c>
      <c r="I90">
        <v>121</v>
      </c>
      <c r="J90">
        <v>120</v>
      </c>
      <c r="K90">
        <v>0</v>
      </c>
      <c r="L90">
        <v>0</v>
      </c>
      <c r="M90">
        <v>0.19216666666668319</v>
      </c>
      <c r="N90">
        <v>0.21511267605632375</v>
      </c>
      <c r="O90">
        <f>_xlfn.XLOOKUP(S90, AnglePowerMatching!$H:$H, AnglePowerMatching!$C:$C, "NaN")</f>
        <v>66</v>
      </c>
      <c r="P90" t="str">
        <f>_xlfn.XLOOKUP(S90, AnglePowerMatching!$H:$H, AnglePowerMatching!$D:$D, "NaN")</f>
        <v>5 masker</v>
      </c>
      <c r="Q90" t="b">
        <f t="shared" si="3"/>
        <v>1</v>
      </c>
      <c r="R90">
        <f>VALUE(_xlfn.TEXTBEFORE(A90, {"L","R"}, , , , A90))</f>
        <v>1034</v>
      </c>
      <c r="S90" t="str">
        <f t="shared" si="2"/>
        <v>103420260114</v>
      </c>
    </row>
    <row r="91" spans="1:19" x14ac:dyDescent="0.3">
      <c r="A91" t="s">
        <v>37</v>
      </c>
      <c r="B91" t="s">
        <v>87</v>
      </c>
      <c r="C91">
        <v>76.470588235294116</v>
      </c>
      <c r="D91">
        <v>65.833333333333329</v>
      </c>
      <c r="E91">
        <v>1</v>
      </c>
      <c r="F91">
        <v>0</v>
      </c>
      <c r="G91">
        <v>91</v>
      </c>
      <c r="H91">
        <v>79</v>
      </c>
      <c r="I91">
        <v>120</v>
      </c>
      <c r="J91">
        <v>120</v>
      </c>
      <c r="K91">
        <v>0.83333333333333337</v>
      </c>
      <c r="L91">
        <v>0</v>
      </c>
      <c r="M91">
        <v>0.2632967032967084</v>
      </c>
      <c r="N91">
        <v>0.24758227848100697</v>
      </c>
      <c r="O91" t="str">
        <f>_xlfn.XLOOKUP(S91, AnglePowerMatching!$H:$H, AnglePowerMatching!$C:$C, "NaN")</f>
        <v>NaN</v>
      </c>
      <c r="P91" t="str">
        <f>_xlfn.XLOOKUP(S91, AnglePowerMatching!$H:$H, AnglePowerMatching!$D:$D, "NaN")</f>
        <v>NaN</v>
      </c>
      <c r="Q91" t="b">
        <f t="shared" si="3"/>
        <v>1</v>
      </c>
      <c r="R91">
        <f>VALUE(_xlfn.TEXTBEFORE(A91, {"L","R"}, , , , A91))</f>
        <v>9450</v>
      </c>
      <c r="S91" t="str">
        <f t="shared" si="2"/>
        <v>945020250818</v>
      </c>
    </row>
    <row r="92" spans="1:19" x14ac:dyDescent="0.3">
      <c r="A92" t="s">
        <v>28</v>
      </c>
      <c r="B92" t="s">
        <v>88</v>
      </c>
      <c r="D92">
        <v>0</v>
      </c>
      <c r="E92">
        <v>0</v>
      </c>
      <c r="F92">
        <v>5</v>
      </c>
      <c r="G92">
        <v>0</v>
      </c>
      <c r="H92">
        <v>0</v>
      </c>
      <c r="I92">
        <v>0</v>
      </c>
      <c r="J92">
        <v>6</v>
      </c>
      <c r="K92">
        <v>0</v>
      </c>
      <c r="L92">
        <v>83.333333333333343</v>
      </c>
      <c r="O92" t="str">
        <f>_xlfn.XLOOKUP(S92, AnglePowerMatching!$H:$H, AnglePowerMatching!$C:$C, "NaN")</f>
        <v>NaN</v>
      </c>
      <c r="P92" t="str">
        <f>_xlfn.XLOOKUP(S92, AnglePowerMatching!$H:$H, AnglePowerMatching!$D:$D, "NaN")</f>
        <v>NaN</v>
      </c>
      <c r="Q92" t="b">
        <f t="shared" si="3"/>
        <v>0</v>
      </c>
      <c r="R92">
        <f>VALUE(_xlfn.TEXTBEFORE(A92, {"L","R"}, , , , A92))</f>
        <v>948</v>
      </c>
      <c r="S92" t="str">
        <f t="shared" si="2"/>
        <v>94820250724</v>
      </c>
    </row>
    <row r="93" spans="1:19" x14ac:dyDescent="0.3">
      <c r="A93" t="s">
        <v>28</v>
      </c>
      <c r="B93" t="s">
        <v>88</v>
      </c>
      <c r="D93">
        <v>0</v>
      </c>
      <c r="E93">
        <v>0</v>
      </c>
      <c r="F93">
        <v>5</v>
      </c>
      <c r="G93">
        <v>0</v>
      </c>
      <c r="H93">
        <v>0</v>
      </c>
      <c r="I93">
        <v>0</v>
      </c>
      <c r="J93">
        <v>6</v>
      </c>
      <c r="K93">
        <v>0</v>
      </c>
      <c r="L93">
        <v>83.333333333333343</v>
      </c>
      <c r="O93" t="str">
        <f>_xlfn.XLOOKUP(S93, AnglePowerMatching!$H:$H, AnglePowerMatching!$C:$C, "NaN")</f>
        <v>NaN</v>
      </c>
      <c r="P93" t="str">
        <f>_xlfn.XLOOKUP(S93, AnglePowerMatching!$H:$H, AnglePowerMatching!$D:$D, "NaN")</f>
        <v>NaN</v>
      </c>
      <c r="Q93" t="b">
        <f t="shared" si="3"/>
        <v>0</v>
      </c>
      <c r="R93">
        <f>VALUE(_xlfn.TEXTBEFORE(A93, {"L","R"}, , , , A93))</f>
        <v>948</v>
      </c>
      <c r="S93" t="str">
        <f t="shared" si="2"/>
        <v>94820250724</v>
      </c>
    </row>
    <row r="94" spans="1:19" x14ac:dyDescent="0.3">
      <c r="A94" t="s">
        <v>28</v>
      </c>
      <c r="B94" t="s">
        <v>88</v>
      </c>
      <c r="D94">
        <v>42.857142857142854</v>
      </c>
      <c r="E94">
        <v>0</v>
      </c>
      <c r="F94">
        <v>1</v>
      </c>
      <c r="G94">
        <v>0</v>
      </c>
      <c r="H94">
        <v>6</v>
      </c>
      <c r="I94">
        <v>0</v>
      </c>
      <c r="J94">
        <v>15</v>
      </c>
      <c r="K94">
        <v>0</v>
      </c>
      <c r="L94">
        <v>6.666666666666667</v>
      </c>
      <c r="N94">
        <v>0.53583333333333327</v>
      </c>
      <c r="O94" t="str">
        <f>_xlfn.XLOOKUP(S94, AnglePowerMatching!$H:$H, AnglePowerMatching!$C:$C, "NaN")</f>
        <v>NaN</v>
      </c>
      <c r="P94" t="str">
        <f>_xlfn.XLOOKUP(S94, AnglePowerMatching!$H:$H, AnglePowerMatching!$D:$D, "NaN")</f>
        <v>NaN</v>
      </c>
      <c r="Q94" t="b">
        <f t="shared" si="3"/>
        <v>0</v>
      </c>
      <c r="R94">
        <f>VALUE(_xlfn.TEXTBEFORE(A94, {"L","R"}, , , , A94))</f>
        <v>948</v>
      </c>
      <c r="S94" t="str">
        <f t="shared" si="2"/>
        <v>94820250724</v>
      </c>
    </row>
    <row r="95" spans="1:19" x14ac:dyDescent="0.3">
      <c r="A95" t="s">
        <v>28</v>
      </c>
      <c r="B95" t="s">
        <v>89</v>
      </c>
      <c r="C95">
        <v>0</v>
      </c>
      <c r="D95">
        <v>100</v>
      </c>
      <c r="E95">
        <v>0</v>
      </c>
      <c r="F95">
        <v>0</v>
      </c>
      <c r="G95">
        <v>0</v>
      </c>
      <c r="H95">
        <v>2</v>
      </c>
      <c r="I95">
        <v>1</v>
      </c>
      <c r="J95">
        <v>2</v>
      </c>
      <c r="K95">
        <v>0</v>
      </c>
      <c r="L95">
        <v>0</v>
      </c>
      <c r="N95">
        <v>0.49599999999999966</v>
      </c>
      <c r="O95">
        <f>_xlfn.XLOOKUP(S95, AnglePowerMatching!$H:$H, AnglePowerMatching!$C:$C, "NaN")</f>
        <v>66</v>
      </c>
      <c r="P95">
        <f>_xlfn.XLOOKUP(S95, AnglePowerMatching!$H:$H, AnglePowerMatching!$D:$D, "NaN")</f>
        <v>3</v>
      </c>
      <c r="Q95" t="b">
        <f t="shared" si="3"/>
        <v>0</v>
      </c>
      <c r="R95">
        <f>VALUE(_xlfn.TEXTBEFORE(A95, {"L","R"}, , , , A95))</f>
        <v>948</v>
      </c>
      <c r="S95" t="str">
        <f t="shared" si="2"/>
        <v>94820250725</v>
      </c>
    </row>
    <row r="96" spans="1:19" x14ac:dyDescent="0.3">
      <c r="A96" t="s">
        <v>28</v>
      </c>
      <c r="B96" t="s">
        <v>89</v>
      </c>
      <c r="C96">
        <v>88.372093023255815</v>
      </c>
      <c r="D96">
        <v>90.217391304347828</v>
      </c>
      <c r="E96">
        <v>8</v>
      </c>
      <c r="F96">
        <v>2</v>
      </c>
      <c r="G96">
        <v>76</v>
      </c>
      <c r="H96">
        <v>83</v>
      </c>
      <c r="I96">
        <v>94</v>
      </c>
      <c r="J96">
        <v>94</v>
      </c>
      <c r="K96">
        <v>8.5106382978723403</v>
      </c>
      <c r="L96">
        <v>2.1276595744680851</v>
      </c>
      <c r="M96">
        <v>0.43493421052630354</v>
      </c>
      <c r="N96">
        <v>0.4044337349397551</v>
      </c>
      <c r="O96">
        <f>_xlfn.XLOOKUP(S96, AnglePowerMatching!$H:$H, AnglePowerMatching!$C:$C, "NaN")</f>
        <v>66</v>
      </c>
      <c r="P96">
        <f>_xlfn.XLOOKUP(S96, AnglePowerMatching!$H:$H, AnglePowerMatching!$D:$D, "NaN")</f>
        <v>3</v>
      </c>
      <c r="Q96" t="b">
        <f t="shared" si="3"/>
        <v>1</v>
      </c>
      <c r="R96">
        <f>VALUE(_xlfn.TEXTBEFORE(A96, {"L","R"}, , , , A96))</f>
        <v>948</v>
      </c>
      <c r="S96" t="str">
        <f t="shared" si="2"/>
        <v>94820250725</v>
      </c>
    </row>
    <row r="97" spans="1:19" x14ac:dyDescent="0.3">
      <c r="A97" t="s">
        <v>28</v>
      </c>
      <c r="B97" t="s">
        <v>90</v>
      </c>
      <c r="C97">
        <v>91.304347826086953</v>
      </c>
      <c r="D97">
        <v>86.486486486486484</v>
      </c>
      <c r="E97">
        <v>9</v>
      </c>
      <c r="F97">
        <v>14</v>
      </c>
      <c r="G97">
        <v>105</v>
      </c>
      <c r="H97">
        <v>96</v>
      </c>
      <c r="I97">
        <v>124</v>
      </c>
      <c r="J97">
        <v>125</v>
      </c>
      <c r="K97">
        <v>7.2580645161290329</v>
      </c>
      <c r="L97">
        <v>11.200000000000001</v>
      </c>
      <c r="M97">
        <v>0.37724761904762261</v>
      </c>
      <c r="N97">
        <v>0.4607499999999955</v>
      </c>
      <c r="O97" t="str">
        <f>_xlfn.XLOOKUP(S97, AnglePowerMatching!$H:$H, AnglePowerMatching!$C:$C, "NaN")</f>
        <v>NaN</v>
      </c>
      <c r="P97" t="str">
        <f>_xlfn.XLOOKUP(S97, AnglePowerMatching!$H:$H, AnglePowerMatching!$D:$D, "NaN")</f>
        <v>NaN</v>
      </c>
      <c r="Q97" t="b">
        <f t="shared" si="3"/>
        <v>1</v>
      </c>
      <c r="R97">
        <f>VALUE(_xlfn.TEXTBEFORE(A97, {"L","R"}, , , , A97))</f>
        <v>948</v>
      </c>
      <c r="S97" t="str">
        <f t="shared" si="2"/>
        <v>94820250726</v>
      </c>
    </row>
    <row r="98" spans="1:19" x14ac:dyDescent="0.3">
      <c r="A98" t="s">
        <v>28</v>
      </c>
      <c r="B98" t="s">
        <v>91</v>
      </c>
      <c r="C98">
        <v>50</v>
      </c>
      <c r="D98">
        <v>50</v>
      </c>
      <c r="E98">
        <v>0</v>
      </c>
      <c r="F98">
        <v>0</v>
      </c>
      <c r="G98">
        <v>2</v>
      </c>
      <c r="H98">
        <v>2</v>
      </c>
      <c r="I98">
        <v>4</v>
      </c>
      <c r="J98">
        <v>4</v>
      </c>
      <c r="K98">
        <v>0</v>
      </c>
      <c r="L98">
        <v>0</v>
      </c>
      <c r="M98">
        <v>0.18800000000000061</v>
      </c>
      <c r="N98">
        <v>0.38699999999999884</v>
      </c>
      <c r="O98">
        <f>_xlfn.XLOOKUP(S98, AnglePowerMatching!$H:$H, AnglePowerMatching!$C:$C, "NaN")</f>
        <v>66</v>
      </c>
      <c r="P98">
        <f>_xlfn.XLOOKUP(S98, AnglePowerMatching!$H:$H, AnglePowerMatching!$D:$D, "NaN")</f>
        <v>5</v>
      </c>
      <c r="Q98" t="b">
        <f t="shared" si="3"/>
        <v>1</v>
      </c>
      <c r="R98">
        <f>VALUE(_xlfn.TEXTBEFORE(A98, {"L","R"}, , , , A98))</f>
        <v>948</v>
      </c>
      <c r="S98" t="str">
        <f t="shared" si="2"/>
        <v>94820250727</v>
      </c>
    </row>
    <row r="99" spans="1:19" x14ac:dyDescent="0.3">
      <c r="A99" t="s">
        <v>28</v>
      </c>
      <c r="B99" t="s">
        <v>91</v>
      </c>
      <c r="C99">
        <v>87.826086956521749</v>
      </c>
      <c r="D99">
        <v>89.565217391304358</v>
      </c>
      <c r="E99">
        <v>0</v>
      </c>
      <c r="F99">
        <v>0</v>
      </c>
      <c r="G99">
        <v>101</v>
      </c>
      <c r="H99">
        <v>103</v>
      </c>
      <c r="I99">
        <v>115</v>
      </c>
      <c r="J99">
        <v>115</v>
      </c>
      <c r="K99">
        <v>0</v>
      </c>
      <c r="L99">
        <v>0</v>
      </c>
      <c r="M99">
        <v>0.28676237623762996</v>
      </c>
      <c r="N99">
        <v>0.28343689320388421</v>
      </c>
      <c r="O99">
        <f>_xlfn.XLOOKUP(S99, AnglePowerMatching!$H:$H, AnglePowerMatching!$C:$C, "NaN")</f>
        <v>66</v>
      </c>
      <c r="P99">
        <f>_xlfn.XLOOKUP(S99, AnglePowerMatching!$H:$H, AnglePowerMatching!$D:$D, "NaN")</f>
        <v>5</v>
      </c>
      <c r="Q99" t="b">
        <f t="shared" si="3"/>
        <v>1</v>
      </c>
      <c r="R99">
        <f>VALUE(_xlfn.TEXTBEFORE(A99, {"L","R"}, , , , A99))</f>
        <v>948</v>
      </c>
      <c r="S99" t="str">
        <f t="shared" si="2"/>
        <v>94820250727</v>
      </c>
    </row>
    <row r="100" spans="1:19" x14ac:dyDescent="0.3">
      <c r="A100" t="s">
        <v>28</v>
      </c>
      <c r="B100" t="s">
        <v>92</v>
      </c>
      <c r="C100">
        <v>100</v>
      </c>
      <c r="D100">
        <v>50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0</v>
      </c>
      <c r="L100">
        <v>0</v>
      </c>
      <c r="M100">
        <v>0.47599999999999909</v>
      </c>
      <c r="N100">
        <v>0.38300000000000001</v>
      </c>
      <c r="O100">
        <f>_xlfn.XLOOKUP(S100, AnglePowerMatching!$H:$H, AnglePowerMatching!$C:$C, "NaN")</f>
        <v>66</v>
      </c>
      <c r="P100">
        <f>_xlfn.XLOOKUP(S100, AnglePowerMatching!$H:$H, AnglePowerMatching!$D:$D, "NaN")</f>
        <v>10</v>
      </c>
      <c r="Q100" t="b">
        <f t="shared" si="3"/>
        <v>1</v>
      </c>
      <c r="R100">
        <f>VALUE(_xlfn.TEXTBEFORE(A100, {"L","R"}, , , , A100))</f>
        <v>948</v>
      </c>
      <c r="S100" t="str">
        <f t="shared" si="2"/>
        <v>94820250728</v>
      </c>
    </row>
    <row r="101" spans="1:19" x14ac:dyDescent="0.3">
      <c r="A101" t="s">
        <v>28</v>
      </c>
      <c r="B101" t="s">
        <v>92</v>
      </c>
      <c r="C101">
        <v>100</v>
      </c>
      <c r="D101">
        <v>100</v>
      </c>
      <c r="E101">
        <v>0</v>
      </c>
      <c r="F101">
        <v>0</v>
      </c>
      <c r="G101">
        <v>1</v>
      </c>
      <c r="H101">
        <v>2</v>
      </c>
      <c r="I101">
        <v>1</v>
      </c>
      <c r="J101">
        <v>2</v>
      </c>
      <c r="K101">
        <v>0</v>
      </c>
      <c r="L101">
        <v>0</v>
      </c>
      <c r="M101">
        <v>0.57499999999999929</v>
      </c>
      <c r="N101">
        <v>0.68300000000000038</v>
      </c>
      <c r="O101">
        <f>_xlfn.XLOOKUP(S101, AnglePowerMatching!$H:$H, AnglePowerMatching!$C:$C, "NaN")</f>
        <v>66</v>
      </c>
      <c r="P101">
        <f>_xlfn.XLOOKUP(S101, AnglePowerMatching!$H:$H, AnglePowerMatching!$D:$D, "NaN")</f>
        <v>10</v>
      </c>
      <c r="Q101" t="b">
        <f t="shared" si="3"/>
        <v>1</v>
      </c>
      <c r="R101">
        <f>VALUE(_xlfn.TEXTBEFORE(A101, {"L","R"}, , , , A101))</f>
        <v>948</v>
      </c>
      <c r="S101" t="str">
        <f t="shared" si="2"/>
        <v>94820250728</v>
      </c>
    </row>
    <row r="102" spans="1:19" x14ac:dyDescent="0.3">
      <c r="A102" t="s">
        <v>28</v>
      </c>
      <c r="B102" t="s">
        <v>92</v>
      </c>
      <c r="C102">
        <v>100</v>
      </c>
      <c r="D102">
        <v>66.666666666666657</v>
      </c>
      <c r="E102">
        <v>1</v>
      </c>
      <c r="F102">
        <v>0</v>
      </c>
      <c r="G102">
        <v>5</v>
      </c>
      <c r="H102">
        <v>4</v>
      </c>
      <c r="I102">
        <v>6</v>
      </c>
      <c r="J102">
        <v>6</v>
      </c>
      <c r="K102">
        <v>16.666666666666664</v>
      </c>
      <c r="L102">
        <v>0</v>
      </c>
      <c r="M102">
        <v>0.46639999999999943</v>
      </c>
      <c r="N102">
        <v>0.48775000000000124</v>
      </c>
      <c r="O102">
        <f>_xlfn.XLOOKUP(S102, AnglePowerMatching!$H:$H, AnglePowerMatching!$C:$C, "NaN")</f>
        <v>66</v>
      </c>
      <c r="P102">
        <f>_xlfn.XLOOKUP(S102, AnglePowerMatching!$H:$H, AnglePowerMatching!$D:$D, "NaN")</f>
        <v>10</v>
      </c>
      <c r="Q102" t="b">
        <f t="shared" si="3"/>
        <v>1</v>
      </c>
      <c r="R102">
        <f>VALUE(_xlfn.TEXTBEFORE(A102, {"L","R"}, , , , A102))</f>
        <v>948</v>
      </c>
      <c r="S102" t="str">
        <f t="shared" si="2"/>
        <v>94820250728</v>
      </c>
    </row>
    <row r="103" spans="1:19" x14ac:dyDescent="0.3">
      <c r="A103" t="s">
        <v>28</v>
      </c>
      <c r="B103" t="s">
        <v>92</v>
      </c>
      <c r="C103">
        <v>93.814432989690715</v>
      </c>
      <c r="D103">
        <v>88.775510204081627</v>
      </c>
      <c r="E103">
        <v>23</v>
      </c>
      <c r="F103">
        <v>22</v>
      </c>
      <c r="G103">
        <v>91</v>
      </c>
      <c r="H103">
        <v>87</v>
      </c>
      <c r="I103">
        <v>120</v>
      </c>
      <c r="J103">
        <v>120</v>
      </c>
      <c r="K103">
        <v>19.166666666666668</v>
      </c>
      <c r="L103">
        <v>18.333333333333332</v>
      </c>
      <c r="M103">
        <v>0.54502197802197783</v>
      </c>
      <c r="N103">
        <v>0.55297701149424061</v>
      </c>
      <c r="O103">
        <f>_xlfn.XLOOKUP(S103, AnglePowerMatching!$H:$H, AnglePowerMatching!$C:$C, "NaN")</f>
        <v>66</v>
      </c>
      <c r="P103">
        <f>_xlfn.XLOOKUP(S103, AnglePowerMatching!$H:$H, AnglePowerMatching!$D:$D, "NaN")</f>
        <v>10</v>
      </c>
      <c r="Q103" t="b">
        <f t="shared" si="3"/>
        <v>1</v>
      </c>
      <c r="R103">
        <f>VALUE(_xlfn.TEXTBEFORE(A103, {"L","R"}, , , , A103))</f>
        <v>948</v>
      </c>
      <c r="S103" t="str">
        <f t="shared" si="2"/>
        <v>94820250728</v>
      </c>
    </row>
    <row r="104" spans="1:19" x14ac:dyDescent="0.3">
      <c r="A104" t="s">
        <v>28</v>
      </c>
      <c r="B104" t="s">
        <v>93</v>
      </c>
      <c r="C104">
        <v>84.93150684931507</v>
      </c>
      <c r="D104">
        <v>89.743589743589752</v>
      </c>
      <c r="E104">
        <v>47</v>
      </c>
      <c r="F104">
        <v>42</v>
      </c>
      <c r="G104">
        <v>62</v>
      </c>
      <c r="H104">
        <v>70</v>
      </c>
      <c r="I104">
        <v>120</v>
      </c>
      <c r="J104">
        <v>120</v>
      </c>
      <c r="K104">
        <v>39.166666666666664</v>
      </c>
      <c r="L104">
        <v>35</v>
      </c>
      <c r="M104">
        <v>0.61246774193548315</v>
      </c>
      <c r="N104">
        <v>0.63437142857143192</v>
      </c>
      <c r="O104">
        <f>_xlfn.XLOOKUP(S104, AnglePowerMatching!$H:$H, AnglePowerMatching!$C:$C, "NaN")</f>
        <v>66</v>
      </c>
      <c r="P104">
        <f>_xlfn.XLOOKUP(S104, AnglePowerMatching!$H:$H, AnglePowerMatching!$D:$D, "NaN")</f>
        <v>3</v>
      </c>
      <c r="Q104" t="b">
        <f t="shared" si="3"/>
        <v>1</v>
      </c>
      <c r="R104">
        <f>VALUE(_xlfn.TEXTBEFORE(A104, {"L","R"}, , , , A104))</f>
        <v>948</v>
      </c>
      <c r="S104" t="str">
        <f t="shared" si="2"/>
        <v>94820250729</v>
      </c>
    </row>
    <row r="105" spans="1:19" x14ac:dyDescent="0.3">
      <c r="A105" t="s">
        <v>28</v>
      </c>
      <c r="B105" t="s">
        <v>94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50</v>
      </c>
      <c r="O105">
        <f>_xlfn.XLOOKUP(S105, AnglePowerMatching!$H:$H, AnglePowerMatching!$C:$C, "NaN")</f>
        <v>90</v>
      </c>
      <c r="P105">
        <f>_xlfn.XLOOKUP(S105, AnglePowerMatching!$H:$H, AnglePowerMatching!$D:$D, "NaN")</f>
        <v>3</v>
      </c>
      <c r="Q105" t="b">
        <f t="shared" si="3"/>
        <v>0</v>
      </c>
      <c r="R105">
        <f>VALUE(_xlfn.TEXTBEFORE(A105, {"L","R"}, , , , A105))</f>
        <v>948</v>
      </c>
      <c r="S105" t="str">
        <f t="shared" si="2"/>
        <v>94820250730</v>
      </c>
    </row>
    <row r="106" spans="1:19" x14ac:dyDescent="0.3">
      <c r="A106" t="s">
        <v>28</v>
      </c>
      <c r="B106" t="s">
        <v>94</v>
      </c>
      <c r="C106">
        <v>0</v>
      </c>
      <c r="E106">
        <v>1</v>
      </c>
      <c r="F106">
        <v>2</v>
      </c>
      <c r="G106">
        <v>0</v>
      </c>
      <c r="H106">
        <v>0</v>
      </c>
      <c r="I106">
        <v>2</v>
      </c>
      <c r="J106">
        <v>2</v>
      </c>
      <c r="K106">
        <v>50</v>
      </c>
      <c r="L106">
        <v>100</v>
      </c>
      <c r="O106">
        <f>_xlfn.XLOOKUP(S106, AnglePowerMatching!$H:$H, AnglePowerMatching!$C:$C, "NaN")</f>
        <v>90</v>
      </c>
      <c r="P106">
        <f>_xlfn.XLOOKUP(S106, AnglePowerMatching!$H:$H, AnglePowerMatching!$D:$D, "NaN")</f>
        <v>3</v>
      </c>
      <c r="Q106" t="b">
        <f t="shared" si="3"/>
        <v>0</v>
      </c>
      <c r="R106">
        <f>VALUE(_xlfn.TEXTBEFORE(A106, {"L","R"}, , , , A106))</f>
        <v>948</v>
      </c>
      <c r="S106" t="str">
        <f t="shared" si="2"/>
        <v>94820250730</v>
      </c>
    </row>
    <row r="107" spans="1:19" x14ac:dyDescent="0.3">
      <c r="A107" t="s">
        <v>28</v>
      </c>
      <c r="B107" t="s">
        <v>94</v>
      </c>
      <c r="C107">
        <v>91.780821917808225</v>
      </c>
      <c r="D107">
        <v>89.534883720930239</v>
      </c>
      <c r="E107">
        <v>42</v>
      </c>
      <c r="F107">
        <v>30</v>
      </c>
      <c r="G107">
        <v>67</v>
      </c>
      <c r="H107">
        <v>77</v>
      </c>
      <c r="I107">
        <v>115</v>
      </c>
      <c r="J107">
        <v>116</v>
      </c>
      <c r="K107">
        <v>36.521739130434781</v>
      </c>
      <c r="L107">
        <v>25.862068965517242</v>
      </c>
      <c r="M107">
        <v>0.5142835820895616</v>
      </c>
      <c r="N107">
        <v>0.53480519480519506</v>
      </c>
      <c r="O107">
        <f>_xlfn.XLOOKUP(S107, AnglePowerMatching!$H:$H, AnglePowerMatching!$C:$C, "NaN")</f>
        <v>90</v>
      </c>
      <c r="P107">
        <f>_xlfn.XLOOKUP(S107, AnglePowerMatching!$H:$H, AnglePowerMatching!$D:$D, "NaN")</f>
        <v>3</v>
      </c>
      <c r="Q107" t="b">
        <f t="shared" si="3"/>
        <v>1</v>
      </c>
      <c r="R107">
        <f>VALUE(_xlfn.TEXTBEFORE(A107, {"L","R"}, , , , A107))</f>
        <v>948</v>
      </c>
      <c r="S107" t="str">
        <f t="shared" si="2"/>
        <v>94820250730</v>
      </c>
    </row>
    <row r="108" spans="1:19" x14ac:dyDescent="0.3">
      <c r="A108" t="s">
        <v>28</v>
      </c>
      <c r="B108" t="s">
        <v>95</v>
      </c>
      <c r="C108">
        <v>83.478260869565219</v>
      </c>
      <c r="D108">
        <v>87.610619469026545</v>
      </c>
      <c r="E108">
        <v>5</v>
      </c>
      <c r="F108">
        <v>7</v>
      </c>
      <c r="G108">
        <v>96</v>
      </c>
      <c r="H108">
        <v>99</v>
      </c>
      <c r="I108">
        <v>120</v>
      </c>
      <c r="J108">
        <v>120</v>
      </c>
      <c r="K108">
        <v>4.1666666666666661</v>
      </c>
      <c r="L108">
        <v>5.833333333333333</v>
      </c>
      <c r="M108">
        <v>0.41176041666667035</v>
      </c>
      <c r="N108">
        <v>0.43931313131312344</v>
      </c>
      <c r="O108">
        <f>_xlfn.XLOOKUP(S108, AnglePowerMatching!$H:$H, AnglePowerMatching!$C:$C, "NaN")</f>
        <v>90</v>
      </c>
      <c r="P108">
        <f>_xlfn.XLOOKUP(S108, AnglePowerMatching!$H:$H, AnglePowerMatching!$D:$D, "NaN")</f>
        <v>5</v>
      </c>
      <c r="Q108" t="b">
        <f t="shared" si="3"/>
        <v>1</v>
      </c>
      <c r="R108">
        <f>VALUE(_xlfn.TEXTBEFORE(A108, {"L","R"}, , , , A108))</f>
        <v>948</v>
      </c>
      <c r="S108" t="str">
        <f t="shared" si="2"/>
        <v>94820250731</v>
      </c>
    </row>
    <row r="109" spans="1:19" x14ac:dyDescent="0.3">
      <c r="A109" t="s">
        <v>28</v>
      </c>
      <c r="B109" t="s">
        <v>96</v>
      </c>
      <c r="C109">
        <v>96.039603960396036</v>
      </c>
      <c r="D109">
        <v>91.818181818181827</v>
      </c>
      <c r="E109">
        <v>29</v>
      </c>
      <c r="F109">
        <v>21</v>
      </c>
      <c r="G109">
        <v>97</v>
      </c>
      <c r="H109">
        <v>101</v>
      </c>
      <c r="I109">
        <v>130</v>
      </c>
      <c r="J109">
        <v>131</v>
      </c>
      <c r="K109">
        <v>22.30769230769231</v>
      </c>
      <c r="L109">
        <v>16.030534351145036</v>
      </c>
      <c r="M109">
        <v>0.51113402061854663</v>
      </c>
      <c r="N109">
        <v>0.49015841584158459</v>
      </c>
      <c r="O109">
        <f>_xlfn.XLOOKUP(S109, AnglePowerMatching!$H:$H, AnglePowerMatching!$C:$C, "NaN")</f>
        <v>90</v>
      </c>
      <c r="P109">
        <f>_xlfn.XLOOKUP(S109, AnglePowerMatching!$H:$H, AnglePowerMatching!$D:$D, "NaN")</f>
        <v>10</v>
      </c>
      <c r="Q109" t="b">
        <f t="shared" si="3"/>
        <v>1</v>
      </c>
      <c r="R109">
        <f>VALUE(_xlfn.TEXTBEFORE(A109, {"L","R"}, , , , A109))</f>
        <v>948</v>
      </c>
      <c r="S109" t="str">
        <f t="shared" si="2"/>
        <v>94820250801</v>
      </c>
    </row>
    <row r="110" spans="1:19" x14ac:dyDescent="0.3">
      <c r="A110" t="s">
        <v>28</v>
      </c>
      <c r="B110" t="s">
        <v>97</v>
      </c>
      <c r="C110">
        <v>92.537313432835816</v>
      </c>
      <c r="D110">
        <v>96.240601503759393</v>
      </c>
      <c r="E110">
        <v>0</v>
      </c>
      <c r="F110">
        <v>2</v>
      </c>
      <c r="G110">
        <v>124</v>
      </c>
      <c r="H110">
        <v>128</v>
      </c>
      <c r="I110">
        <v>134</v>
      </c>
      <c r="J110">
        <v>135</v>
      </c>
      <c r="K110">
        <v>0</v>
      </c>
      <c r="L110">
        <v>1.4814814814814816</v>
      </c>
      <c r="M110">
        <v>0.38116129032257823</v>
      </c>
      <c r="N110">
        <v>0.37492968749998556</v>
      </c>
      <c r="O110" t="str">
        <f>_xlfn.XLOOKUP(S110, AnglePowerMatching!$H:$H, AnglePowerMatching!$C:$C, "NaN")</f>
        <v>NaN</v>
      </c>
      <c r="P110" t="str">
        <f>_xlfn.XLOOKUP(S110, AnglePowerMatching!$H:$H, AnglePowerMatching!$D:$D, "NaN")</f>
        <v>NaN</v>
      </c>
      <c r="Q110" t="b">
        <f t="shared" si="3"/>
        <v>1</v>
      </c>
      <c r="R110">
        <f>VALUE(_xlfn.TEXTBEFORE(A110, {"L","R"}, , , , A110))</f>
        <v>948</v>
      </c>
      <c r="S110" t="str">
        <f t="shared" si="2"/>
        <v>94820250802</v>
      </c>
    </row>
    <row r="111" spans="1:19" x14ac:dyDescent="0.3">
      <c r="A111" t="s">
        <v>28</v>
      </c>
      <c r="B111" t="s">
        <v>98</v>
      </c>
      <c r="C111">
        <v>92.10526315789474</v>
      </c>
      <c r="D111">
        <v>91.228070175438589</v>
      </c>
      <c r="E111">
        <v>6</v>
      </c>
      <c r="F111">
        <v>6</v>
      </c>
      <c r="G111">
        <v>105</v>
      </c>
      <c r="H111">
        <v>104</v>
      </c>
      <c r="I111">
        <v>120</v>
      </c>
      <c r="J111">
        <v>120</v>
      </c>
      <c r="K111">
        <v>5</v>
      </c>
      <c r="L111">
        <v>5</v>
      </c>
      <c r="M111">
        <v>0.50390476190476752</v>
      </c>
      <c r="N111">
        <v>0.49585576923076452</v>
      </c>
      <c r="O111">
        <f>_xlfn.XLOOKUP(S111, AnglePowerMatching!$H:$H, AnglePowerMatching!$C:$C, "NaN")</f>
        <v>35</v>
      </c>
      <c r="P111">
        <f>_xlfn.XLOOKUP(S111, AnglePowerMatching!$H:$H, AnglePowerMatching!$D:$D, "NaN")</f>
        <v>3</v>
      </c>
      <c r="Q111" t="b">
        <f t="shared" si="3"/>
        <v>1</v>
      </c>
      <c r="R111">
        <f>VALUE(_xlfn.TEXTBEFORE(A111, {"L","R"}, , , , A111))</f>
        <v>948</v>
      </c>
      <c r="S111" t="str">
        <f t="shared" si="2"/>
        <v>94820250803</v>
      </c>
    </row>
    <row r="112" spans="1:19" x14ac:dyDescent="0.3">
      <c r="A112" t="s">
        <v>28</v>
      </c>
      <c r="B112" t="s">
        <v>99</v>
      </c>
      <c r="C112">
        <v>85.91549295774648</v>
      </c>
      <c r="D112">
        <v>88.461538461538453</v>
      </c>
      <c r="E112">
        <v>49</v>
      </c>
      <c r="F112">
        <v>44</v>
      </c>
      <c r="G112">
        <v>61</v>
      </c>
      <c r="H112">
        <v>69</v>
      </c>
      <c r="I112">
        <v>120</v>
      </c>
      <c r="J112">
        <v>122</v>
      </c>
      <c r="K112">
        <v>40.833333333333336</v>
      </c>
      <c r="L112">
        <v>36.065573770491802</v>
      </c>
      <c r="M112">
        <v>0.45629508196721302</v>
      </c>
      <c r="N112">
        <v>0.50857971014492942</v>
      </c>
      <c r="O112" t="str">
        <f>_xlfn.XLOOKUP(S112, AnglePowerMatching!$H:$H, AnglePowerMatching!$C:$C, "NaN")</f>
        <v>NaN</v>
      </c>
      <c r="P112" t="str">
        <f>_xlfn.XLOOKUP(S112, AnglePowerMatching!$H:$H, AnglePowerMatching!$D:$D, "NaN")</f>
        <v>NaN</v>
      </c>
      <c r="Q112" t="b">
        <f t="shared" si="3"/>
        <v>1</v>
      </c>
      <c r="R112">
        <f>VALUE(_xlfn.TEXTBEFORE(A112, {"L","R"}, , , , A112))</f>
        <v>948</v>
      </c>
      <c r="S112" t="str">
        <f t="shared" si="2"/>
        <v>94820250804</v>
      </c>
    </row>
    <row r="113" spans="1:19" x14ac:dyDescent="0.3">
      <c r="A113" t="s">
        <v>28</v>
      </c>
      <c r="B113" t="s">
        <v>100</v>
      </c>
      <c r="C113">
        <v>65.217391304347828</v>
      </c>
      <c r="D113">
        <v>65.217391304347828</v>
      </c>
      <c r="E113">
        <v>115</v>
      </c>
      <c r="F113">
        <v>113</v>
      </c>
      <c r="G113">
        <v>15</v>
      </c>
      <c r="H113">
        <v>15</v>
      </c>
      <c r="I113">
        <v>138</v>
      </c>
      <c r="J113">
        <v>136</v>
      </c>
      <c r="K113">
        <v>83.333333333333343</v>
      </c>
      <c r="L113">
        <v>83.088235294117652</v>
      </c>
      <c r="M113">
        <v>0.69999999999999385</v>
      </c>
      <c r="N113">
        <v>0.78606666666667024</v>
      </c>
      <c r="O113" t="str">
        <f>_xlfn.XLOOKUP(S113, AnglePowerMatching!$H:$H, AnglePowerMatching!$C:$C, "NaN")</f>
        <v>NaN</v>
      </c>
      <c r="P113" t="str">
        <f>_xlfn.XLOOKUP(S113, AnglePowerMatching!$H:$H, AnglePowerMatching!$D:$D, "NaN")</f>
        <v>NaN</v>
      </c>
      <c r="Q113" t="b">
        <f t="shared" si="3"/>
        <v>1</v>
      </c>
      <c r="R113">
        <f>VALUE(_xlfn.TEXTBEFORE(A113, {"L","R"}, , , , A113))</f>
        <v>948</v>
      </c>
      <c r="S113" t="str">
        <f t="shared" si="2"/>
        <v>94820250805</v>
      </c>
    </row>
    <row r="114" spans="1:19" x14ac:dyDescent="0.3">
      <c r="A114" t="s">
        <v>28</v>
      </c>
      <c r="B114" t="s">
        <v>101</v>
      </c>
      <c r="C114">
        <v>86.842105263157904</v>
      </c>
      <c r="D114">
        <v>92.857142857142861</v>
      </c>
      <c r="E114">
        <v>26</v>
      </c>
      <c r="F114">
        <v>32</v>
      </c>
      <c r="G114">
        <v>66</v>
      </c>
      <c r="H114">
        <v>65</v>
      </c>
      <c r="I114">
        <v>102</v>
      </c>
      <c r="J114">
        <v>102</v>
      </c>
      <c r="K114">
        <v>25.490196078431371</v>
      </c>
      <c r="L114">
        <v>31.372549019607842</v>
      </c>
      <c r="M114">
        <v>0.49921212121211961</v>
      </c>
      <c r="N114">
        <v>0.48170769230769611</v>
      </c>
      <c r="O114">
        <f>_xlfn.XLOOKUP(S114, AnglePowerMatching!$H:$H, AnglePowerMatching!$C:$C, "NaN")</f>
        <v>35</v>
      </c>
      <c r="P114">
        <f>_xlfn.XLOOKUP(S114, AnglePowerMatching!$H:$H, AnglePowerMatching!$D:$D, "NaN")</f>
        <v>5</v>
      </c>
      <c r="Q114" t="b">
        <f t="shared" si="3"/>
        <v>1</v>
      </c>
      <c r="R114">
        <f>VALUE(_xlfn.TEXTBEFORE(A114, {"L","R"}, , , , A114))</f>
        <v>948</v>
      </c>
      <c r="S114" t="str">
        <f t="shared" si="2"/>
        <v>94820250806</v>
      </c>
    </row>
    <row r="115" spans="1:19" x14ac:dyDescent="0.3">
      <c r="A115" t="s">
        <v>28</v>
      </c>
      <c r="B115" t="s">
        <v>102</v>
      </c>
      <c r="C115">
        <v>64.545454545454547</v>
      </c>
      <c r="D115">
        <v>63.478260869565219</v>
      </c>
      <c r="E115">
        <v>5</v>
      </c>
      <c r="F115">
        <v>0</v>
      </c>
      <c r="G115">
        <v>71</v>
      </c>
      <c r="H115">
        <v>73</v>
      </c>
      <c r="I115">
        <v>115</v>
      </c>
      <c r="J115">
        <v>115</v>
      </c>
      <c r="K115">
        <v>4.3478260869565215</v>
      </c>
      <c r="L115">
        <v>0</v>
      </c>
      <c r="M115">
        <v>0.27321126760563741</v>
      </c>
      <c r="N115">
        <v>0.26446575342466266</v>
      </c>
      <c r="O115">
        <f>_xlfn.XLOOKUP(S115, AnglePowerMatching!$H:$H, AnglePowerMatching!$C:$C, "NaN")</f>
        <v>35</v>
      </c>
      <c r="P115">
        <f>_xlfn.XLOOKUP(S115, AnglePowerMatching!$H:$H, AnglePowerMatching!$D:$D, "NaN")</f>
        <v>10</v>
      </c>
      <c r="Q115" t="b">
        <f t="shared" si="3"/>
        <v>1</v>
      </c>
      <c r="R115">
        <f>VALUE(_xlfn.TEXTBEFORE(A115, {"L","R"}, , , , A115))</f>
        <v>948</v>
      </c>
      <c r="S115" t="str">
        <f t="shared" si="2"/>
        <v>94820250807</v>
      </c>
    </row>
    <row r="116" spans="1:19" x14ac:dyDescent="0.3">
      <c r="A116" t="s">
        <v>28</v>
      </c>
      <c r="B116" t="s">
        <v>103</v>
      </c>
      <c r="C116">
        <v>83.516483516483518</v>
      </c>
      <c r="D116">
        <v>79.775280898876403</v>
      </c>
      <c r="E116">
        <v>23</v>
      </c>
      <c r="F116">
        <v>25</v>
      </c>
      <c r="G116">
        <v>76</v>
      </c>
      <c r="H116">
        <v>71</v>
      </c>
      <c r="I116">
        <v>114</v>
      </c>
      <c r="J116">
        <v>114</v>
      </c>
      <c r="K116">
        <v>20.175438596491226</v>
      </c>
      <c r="L116">
        <v>21.929824561403507</v>
      </c>
      <c r="M116">
        <v>0.37123684210526203</v>
      </c>
      <c r="N116">
        <v>0.37480281690140865</v>
      </c>
      <c r="O116" t="str">
        <f>_xlfn.XLOOKUP(S116, AnglePowerMatching!$H:$H, AnglePowerMatching!$C:$C, "NaN")</f>
        <v>NaN</v>
      </c>
      <c r="P116" t="str">
        <f>_xlfn.XLOOKUP(S116, AnglePowerMatching!$H:$H, AnglePowerMatching!$D:$D, "NaN")</f>
        <v>NaN</v>
      </c>
      <c r="Q116" t="b">
        <f t="shared" si="3"/>
        <v>1</v>
      </c>
      <c r="R116">
        <f>VALUE(_xlfn.TEXTBEFORE(A116, {"L","R"}, , , , A116))</f>
        <v>948</v>
      </c>
      <c r="S116" t="str">
        <f t="shared" si="2"/>
        <v>94820250808</v>
      </c>
    </row>
    <row r="117" spans="1:19" x14ac:dyDescent="0.3">
      <c r="A117" t="s">
        <v>28</v>
      </c>
      <c r="B117" t="s">
        <v>104</v>
      </c>
      <c r="C117">
        <v>72.881355932203391</v>
      </c>
      <c r="D117">
        <v>82.203389830508485</v>
      </c>
      <c r="E117">
        <v>5</v>
      </c>
      <c r="F117">
        <v>5</v>
      </c>
      <c r="G117">
        <v>86</v>
      </c>
      <c r="H117">
        <v>97</v>
      </c>
      <c r="I117">
        <v>123</v>
      </c>
      <c r="J117">
        <v>123</v>
      </c>
      <c r="K117">
        <v>4.0650406504065035</v>
      </c>
      <c r="L117">
        <v>4.0650406504065035</v>
      </c>
      <c r="M117">
        <v>0.38136046511628879</v>
      </c>
      <c r="N117">
        <v>0.38401030927835084</v>
      </c>
      <c r="O117" t="str">
        <f>_xlfn.XLOOKUP(S117, AnglePowerMatching!$H:$H, AnglePowerMatching!$C:$C, "NaN")</f>
        <v>NaN</v>
      </c>
      <c r="P117" t="str">
        <f>_xlfn.XLOOKUP(S117, AnglePowerMatching!$H:$H, AnglePowerMatching!$D:$D, "NaN")</f>
        <v>NaN</v>
      </c>
      <c r="Q117" t="b">
        <f t="shared" si="3"/>
        <v>1</v>
      </c>
      <c r="R117">
        <f>VALUE(_xlfn.TEXTBEFORE(A117, {"L","R"}, , , , A117))</f>
        <v>948</v>
      </c>
      <c r="S117" t="str">
        <f t="shared" si="2"/>
        <v>94820250809</v>
      </c>
    </row>
    <row r="118" spans="1:19" x14ac:dyDescent="0.3">
      <c r="A118" t="s">
        <v>28</v>
      </c>
      <c r="B118" t="s">
        <v>105</v>
      </c>
      <c r="C118">
        <v>70.833333333333343</v>
      </c>
      <c r="D118">
        <v>70.103092783505147</v>
      </c>
      <c r="E118">
        <v>7</v>
      </c>
      <c r="F118">
        <v>6</v>
      </c>
      <c r="G118">
        <v>68</v>
      </c>
      <c r="H118">
        <v>68</v>
      </c>
      <c r="I118">
        <v>103</v>
      </c>
      <c r="J118">
        <v>103</v>
      </c>
      <c r="K118">
        <v>6.7961165048543686</v>
      </c>
      <c r="L118">
        <v>5.825242718446602</v>
      </c>
      <c r="M118">
        <v>0.3012058823529542</v>
      </c>
      <c r="N118">
        <v>0.29051470588236317</v>
      </c>
      <c r="O118" t="str">
        <f>_xlfn.XLOOKUP(S118, AnglePowerMatching!$H:$H, AnglePowerMatching!$C:$C, "NaN")</f>
        <v>NaN</v>
      </c>
      <c r="P118" t="str">
        <f>_xlfn.XLOOKUP(S118, AnglePowerMatching!$H:$H, AnglePowerMatching!$D:$D, "NaN")</f>
        <v>NaN</v>
      </c>
      <c r="Q118" t="b">
        <f t="shared" si="3"/>
        <v>1</v>
      </c>
      <c r="R118">
        <f>VALUE(_xlfn.TEXTBEFORE(A118, {"L","R"}, , , , A118))</f>
        <v>948</v>
      </c>
      <c r="S118" t="str">
        <f t="shared" si="2"/>
        <v>94820250810</v>
      </c>
    </row>
    <row r="119" spans="1:19" x14ac:dyDescent="0.3">
      <c r="A119" t="s">
        <v>28</v>
      </c>
      <c r="B119" t="s">
        <v>106</v>
      </c>
      <c r="C119">
        <v>81.818181818181827</v>
      </c>
      <c r="D119">
        <v>81.981981981981974</v>
      </c>
      <c r="E119">
        <v>15</v>
      </c>
      <c r="F119">
        <v>16</v>
      </c>
      <c r="G119">
        <v>90</v>
      </c>
      <c r="H119">
        <v>91</v>
      </c>
      <c r="I119">
        <v>125</v>
      </c>
      <c r="J119">
        <v>127</v>
      </c>
      <c r="K119">
        <v>12</v>
      </c>
      <c r="L119">
        <v>12.598425196850393</v>
      </c>
      <c r="M119">
        <v>0.40074444444445145</v>
      </c>
      <c r="N119">
        <v>0.35846153846155293</v>
      </c>
      <c r="O119" t="str">
        <f>_xlfn.XLOOKUP(S119, AnglePowerMatching!$H:$H, AnglePowerMatching!$C:$C, "NaN")</f>
        <v>NaN</v>
      </c>
      <c r="P119" t="str">
        <f>_xlfn.XLOOKUP(S119, AnglePowerMatching!$H:$H, AnglePowerMatching!$D:$D, "NaN")</f>
        <v>NaN</v>
      </c>
      <c r="Q119" t="b">
        <f t="shared" si="3"/>
        <v>1</v>
      </c>
      <c r="R119">
        <f>VALUE(_xlfn.TEXTBEFORE(A119, {"L","R"}, , , , A119))</f>
        <v>948</v>
      </c>
      <c r="S119" t="str">
        <f t="shared" si="2"/>
        <v>94820250811</v>
      </c>
    </row>
    <row r="120" spans="1:19" x14ac:dyDescent="0.3">
      <c r="A120" t="s">
        <v>28</v>
      </c>
      <c r="B120" t="s">
        <v>107</v>
      </c>
      <c r="C120">
        <v>90.909090909090907</v>
      </c>
      <c r="D120">
        <v>90</v>
      </c>
      <c r="E120">
        <v>0</v>
      </c>
      <c r="F120">
        <v>1</v>
      </c>
      <c r="G120">
        <v>110</v>
      </c>
      <c r="H120">
        <v>108</v>
      </c>
      <c r="I120">
        <v>121</v>
      </c>
      <c r="J120">
        <v>121</v>
      </c>
      <c r="K120">
        <v>0</v>
      </c>
      <c r="L120">
        <v>0.82644628099173556</v>
      </c>
      <c r="M120">
        <v>0.35438181818181702</v>
      </c>
      <c r="N120">
        <v>0.35283333333332323</v>
      </c>
      <c r="O120" t="str">
        <f>_xlfn.XLOOKUP(S120, AnglePowerMatching!$H:$H, AnglePowerMatching!$C:$C, "NaN")</f>
        <v>NaN</v>
      </c>
      <c r="P120" t="str">
        <f>_xlfn.XLOOKUP(S120, AnglePowerMatching!$H:$H, AnglePowerMatching!$D:$D, "NaN")</f>
        <v>NaN</v>
      </c>
      <c r="Q120" t="b">
        <f t="shared" si="3"/>
        <v>1</v>
      </c>
      <c r="R120">
        <f>VALUE(_xlfn.TEXTBEFORE(A120, {"L","R"}, , , , A120))</f>
        <v>948</v>
      </c>
      <c r="S120" t="str">
        <f t="shared" si="2"/>
        <v>94820250812</v>
      </c>
    </row>
    <row r="121" spans="1:19" x14ac:dyDescent="0.3">
      <c r="A121" t="s">
        <v>28</v>
      </c>
      <c r="B121" t="s">
        <v>108</v>
      </c>
      <c r="C121">
        <v>0</v>
      </c>
      <c r="E121">
        <v>2</v>
      </c>
      <c r="F121">
        <v>4</v>
      </c>
      <c r="G121">
        <v>0</v>
      </c>
      <c r="H121">
        <v>0</v>
      </c>
      <c r="I121">
        <v>3</v>
      </c>
      <c r="J121">
        <v>4</v>
      </c>
      <c r="K121">
        <v>66.666666666666657</v>
      </c>
      <c r="L121">
        <v>100</v>
      </c>
      <c r="O121">
        <f>_xlfn.XLOOKUP(S121, AnglePowerMatching!$H:$H, AnglePowerMatching!$C:$C, "NaN")</f>
        <v>26</v>
      </c>
      <c r="P121">
        <f>_xlfn.XLOOKUP(S121, AnglePowerMatching!$H:$H, AnglePowerMatching!$D:$D, "NaN")</f>
        <v>3</v>
      </c>
      <c r="Q121" t="b">
        <f t="shared" si="3"/>
        <v>0</v>
      </c>
      <c r="R121">
        <f>VALUE(_xlfn.TEXTBEFORE(A121, {"L","R"}, , , , A121))</f>
        <v>948</v>
      </c>
      <c r="S121" t="str">
        <f t="shared" si="2"/>
        <v>94820250813</v>
      </c>
    </row>
    <row r="122" spans="1:19" x14ac:dyDescent="0.3">
      <c r="A122" t="s">
        <v>28</v>
      </c>
      <c r="B122" t="s">
        <v>108</v>
      </c>
      <c r="D122">
        <v>100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N122">
        <v>0.29599999999999999</v>
      </c>
      <c r="O122">
        <f>_xlfn.XLOOKUP(S122, AnglePowerMatching!$H:$H, AnglePowerMatching!$C:$C, "NaN")</f>
        <v>26</v>
      </c>
      <c r="P122">
        <f>_xlfn.XLOOKUP(S122, AnglePowerMatching!$H:$H, AnglePowerMatching!$D:$D, "NaN")</f>
        <v>3</v>
      </c>
      <c r="Q122" t="b">
        <f t="shared" si="3"/>
        <v>0</v>
      </c>
      <c r="R122">
        <f>VALUE(_xlfn.TEXTBEFORE(A122, {"L","R"}, , , , A122))</f>
        <v>948</v>
      </c>
      <c r="S122" t="str">
        <f t="shared" si="2"/>
        <v>94820250813</v>
      </c>
    </row>
    <row r="123" spans="1:19" x14ac:dyDescent="0.3">
      <c r="A123" t="s">
        <v>28</v>
      </c>
      <c r="B123" t="s">
        <v>108</v>
      </c>
      <c r="C123">
        <v>87.387387387387378</v>
      </c>
      <c r="D123">
        <v>92.10526315789474</v>
      </c>
      <c r="E123">
        <v>13</v>
      </c>
      <c r="F123">
        <v>10</v>
      </c>
      <c r="G123">
        <v>97</v>
      </c>
      <c r="H123">
        <v>105</v>
      </c>
      <c r="I123">
        <v>124</v>
      </c>
      <c r="J123">
        <v>124</v>
      </c>
      <c r="K123">
        <v>10.483870967741936</v>
      </c>
      <c r="L123">
        <v>8.064516129032258</v>
      </c>
      <c r="M123">
        <v>0.3676907216494924</v>
      </c>
      <c r="N123">
        <v>0.37620000000001241</v>
      </c>
      <c r="O123">
        <f>_xlfn.XLOOKUP(S123, AnglePowerMatching!$H:$H, AnglePowerMatching!$C:$C, "NaN")</f>
        <v>26</v>
      </c>
      <c r="P123">
        <f>_xlfn.XLOOKUP(S123, AnglePowerMatching!$H:$H, AnglePowerMatching!$D:$D, "NaN")</f>
        <v>3</v>
      </c>
      <c r="Q123" t="b">
        <f t="shared" si="3"/>
        <v>1</v>
      </c>
      <c r="R123">
        <f>VALUE(_xlfn.TEXTBEFORE(A123, {"L","R"}, , , , A123))</f>
        <v>948</v>
      </c>
      <c r="S123" t="str">
        <f t="shared" si="2"/>
        <v>94820250813</v>
      </c>
    </row>
    <row r="124" spans="1:19" x14ac:dyDescent="0.3">
      <c r="A124" t="s">
        <v>28</v>
      </c>
      <c r="B124" t="s">
        <v>109</v>
      </c>
      <c r="C124">
        <v>79.824561403508781</v>
      </c>
      <c r="D124">
        <v>83.333333333333343</v>
      </c>
      <c r="E124">
        <v>0</v>
      </c>
      <c r="F124">
        <v>0</v>
      </c>
      <c r="G124">
        <v>91</v>
      </c>
      <c r="H124">
        <v>95</v>
      </c>
      <c r="I124">
        <v>114</v>
      </c>
      <c r="J124">
        <v>114</v>
      </c>
      <c r="K124">
        <v>0</v>
      </c>
      <c r="L124">
        <v>0</v>
      </c>
      <c r="M124">
        <v>0.33020879120879459</v>
      </c>
      <c r="N124">
        <v>0.31454736842103553</v>
      </c>
      <c r="O124">
        <f>_xlfn.XLOOKUP(S124, AnglePowerMatching!$H:$H, AnglePowerMatching!$C:$C, "NaN")</f>
        <v>26</v>
      </c>
      <c r="P124">
        <f>_xlfn.XLOOKUP(S124, AnglePowerMatching!$H:$H, AnglePowerMatching!$D:$D, "NaN")</f>
        <v>5</v>
      </c>
      <c r="Q124" t="b">
        <f t="shared" si="3"/>
        <v>1</v>
      </c>
      <c r="R124">
        <f>VALUE(_xlfn.TEXTBEFORE(A124, {"L","R"}, , , , A124))</f>
        <v>948</v>
      </c>
      <c r="S124" t="str">
        <f t="shared" si="2"/>
        <v>94820250814</v>
      </c>
    </row>
    <row r="125" spans="1:19" x14ac:dyDescent="0.3">
      <c r="A125" t="s">
        <v>28</v>
      </c>
      <c r="B125" t="s">
        <v>110</v>
      </c>
      <c r="C125">
        <v>88.235294117647058</v>
      </c>
      <c r="D125">
        <v>90.082644628099175</v>
      </c>
      <c r="E125">
        <v>5</v>
      </c>
      <c r="F125">
        <v>3</v>
      </c>
      <c r="G125">
        <v>105</v>
      </c>
      <c r="H125">
        <v>109</v>
      </c>
      <c r="I125">
        <v>124</v>
      </c>
      <c r="J125">
        <v>124</v>
      </c>
      <c r="K125">
        <v>4.032258064516129</v>
      </c>
      <c r="L125">
        <v>2.4193548387096775</v>
      </c>
      <c r="M125">
        <v>0.33618095238095247</v>
      </c>
      <c r="N125">
        <v>0.33287155963304121</v>
      </c>
      <c r="O125">
        <f>_xlfn.XLOOKUP(S125, AnglePowerMatching!$H:$H, AnglePowerMatching!$C:$C, "NaN")</f>
        <v>26</v>
      </c>
      <c r="P125">
        <f>_xlfn.XLOOKUP(S125, AnglePowerMatching!$H:$H, AnglePowerMatching!$D:$D, "NaN")</f>
        <v>10</v>
      </c>
      <c r="Q125" t="b">
        <f t="shared" si="3"/>
        <v>1</v>
      </c>
      <c r="R125">
        <f>VALUE(_xlfn.TEXTBEFORE(A125, {"L","R"}, , , , A125))</f>
        <v>948</v>
      </c>
      <c r="S125" t="str">
        <f t="shared" si="2"/>
        <v>94820250815</v>
      </c>
    </row>
    <row r="126" spans="1:19" x14ac:dyDescent="0.3">
      <c r="A126" t="s">
        <v>28</v>
      </c>
      <c r="B126" t="s">
        <v>111</v>
      </c>
      <c r="C126">
        <v>71.05263157894737</v>
      </c>
      <c r="D126">
        <v>68.376068376068375</v>
      </c>
      <c r="E126">
        <v>6</v>
      </c>
      <c r="F126">
        <v>3</v>
      </c>
      <c r="G126">
        <v>81</v>
      </c>
      <c r="H126">
        <v>80</v>
      </c>
      <c r="I126">
        <v>120</v>
      </c>
      <c r="J126">
        <v>120</v>
      </c>
      <c r="K126">
        <v>5</v>
      </c>
      <c r="L126">
        <v>2.5</v>
      </c>
      <c r="M126">
        <v>0.26251851851851782</v>
      </c>
      <c r="N126">
        <v>0.26364999999999544</v>
      </c>
      <c r="O126">
        <f>_xlfn.XLOOKUP(S126, AnglePowerMatching!$H:$H, AnglePowerMatching!$C:$C, "NaN")</f>
        <v>16</v>
      </c>
      <c r="P126">
        <f>_xlfn.XLOOKUP(S126, AnglePowerMatching!$H:$H, AnglePowerMatching!$D:$D, "NaN")</f>
        <v>3</v>
      </c>
      <c r="Q126" t="b">
        <f t="shared" si="3"/>
        <v>1</v>
      </c>
      <c r="R126">
        <f>VALUE(_xlfn.TEXTBEFORE(A126, {"L","R"}, , , , A126))</f>
        <v>948</v>
      </c>
      <c r="S126" t="str">
        <f t="shared" si="2"/>
        <v>94820250816</v>
      </c>
    </row>
    <row r="127" spans="1:19" x14ac:dyDescent="0.3">
      <c r="A127" t="s">
        <v>28</v>
      </c>
      <c r="B127" t="s">
        <v>112</v>
      </c>
      <c r="D127">
        <v>0</v>
      </c>
      <c r="E127">
        <v>12</v>
      </c>
      <c r="F127">
        <v>11</v>
      </c>
      <c r="G127">
        <v>0</v>
      </c>
      <c r="H127">
        <v>0</v>
      </c>
      <c r="I127">
        <v>12</v>
      </c>
      <c r="J127">
        <v>12</v>
      </c>
      <c r="K127">
        <v>100</v>
      </c>
      <c r="L127">
        <v>91.666666666666657</v>
      </c>
      <c r="O127" t="str">
        <f>_xlfn.XLOOKUP(S127, AnglePowerMatching!$H:$H, AnglePowerMatching!$C:$C, "NaN")</f>
        <v>NaN</v>
      </c>
      <c r="P127" t="str">
        <f>_xlfn.XLOOKUP(S127, AnglePowerMatching!$H:$H, AnglePowerMatching!$D:$D, "NaN")</f>
        <v>NaN</v>
      </c>
      <c r="Q127" t="b">
        <f t="shared" si="3"/>
        <v>0</v>
      </c>
      <c r="R127">
        <f>VALUE(_xlfn.TEXTBEFORE(A127, {"L","R"}, , , , A127))</f>
        <v>948</v>
      </c>
      <c r="S127" t="str">
        <f t="shared" si="2"/>
        <v>94820250817</v>
      </c>
    </row>
    <row r="128" spans="1:19" x14ac:dyDescent="0.3">
      <c r="A128" t="s">
        <v>28</v>
      </c>
      <c r="B128" t="s">
        <v>87</v>
      </c>
      <c r="C128">
        <v>76.724137931034491</v>
      </c>
      <c r="D128">
        <v>74.137931034482762</v>
      </c>
      <c r="E128">
        <v>4</v>
      </c>
      <c r="F128">
        <v>4</v>
      </c>
      <c r="G128">
        <v>89</v>
      </c>
      <c r="H128">
        <v>86</v>
      </c>
      <c r="I128">
        <v>120</v>
      </c>
      <c r="J128">
        <v>120</v>
      </c>
      <c r="K128">
        <v>3.3333333333333335</v>
      </c>
      <c r="L128">
        <v>3.3333333333333335</v>
      </c>
      <c r="M128">
        <v>0.31822471910112904</v>
      </c>
      <c r="N128">
        <v>0.3192441860465105</v>
      </c>
      <c r="O128" t="str">
        <f>_xlfn.XLOOKUP(S128, AnglePowerMatching!$H:$H, AnglePowerMatching!$C:$C, "NaN")</f>
        <v>NaN</v>
      </c>
      <c r="P128" t="str">
        <f>_xlfn.XLOOKUP(S128, AnglePowerMatching!$H:$H, AnglePowerMatching!$D:$D, "NaN")</f>
        <v>NaN</v>
      </c>
      <c r="Q128" t="b">
        <f t="shared" si="3"/>
        <v>1</v>
      </c>
      <c r="R128">
        <f>VALUE(_xlfn.TEXTBEFORE(A128, {"L","R"}, , , , A128))</f>
        <v>948</v>
      </c>
      <c r="S128" t="str">
        <f t="shared" si="2"/>
        <v>94820250818</v>
      </c>
    </row>
    <row r="129" spans="1:19" x14ac:dyDescent="0.3">
      <c r="A129" t="s">
        <v>28</v>
      </c>
      <c r="B129" t="s">
        <v>113</v>
      </c>
      <c r="C129">
        <v>85.833333333333329</v>
      </c>
      <c r="D129">
        <v>83.620689655172413</v>
      </c>
      <c r="E129">
        <v>16</v>
      </c>
      <c r="F129">
        <v>20</v>
      </c>
      <c r="G129">
        <v>103</v>
      </c>
      <c r="H129">
        <v>97</v>
      </c>
      <c r="I129">
        <v>136</v>
      </c>
      <c r="J129">
        <v>136</v>
      </c>
      <c r="K129">
        <v>11.76470588235294</v>
      </c>
      <c r="L129">
        <v>14.705882352941178</v>
      </c>
      <c r="M129">
        <v>0.48455339805824899</v>
      </c>
      <c r="N129">
        <v>0.47910309278351443</v>
      </c>
      <c r="O129" t="str">
        <f>_xlfn.XLOOKUP(S129, AnglePowerMatching!$H:$H, AnglePowerMatching!$C:$C, "NaN")</f>
        <v>NaN</v>
      </c>
      <c r="P129" t="str">
        <f>_xlfn.XLOOKUP(S129, AnglePowerMatching!$H:$H, AnglePowerMatching!$D:$D, "NaN")</f>
        <v>NaN</v>
      </c>
      <c r="Q129" t="b">
        <f t="shared" si="3"/>
        <v>1</v>
      </c>
      <c r="R129">
        <f>VALUE(_xlfn.TEXTBEFORE(A129, {"L","R"}, , , , A129))</f>
        <v>948</v>
      </c>
      <c r="S129" t="str">
        <f t="shared" si="2"/>
        <v>94820250819</v>
      </c>
    </row>
    <row r="130" spans="1:19" x14ac:dyDescent="0.3">
      <c r="A130" t="s">
        <v>28</v>
      </c>
      <c r="B130" t="s">
        <v>114</v>
      </c>
      <c r="C130">
        <v>82.926829268292678</v>
      </c>
      <c r="D130">
        <v>81.147540983606561</v>
      </c>
      <c r="E130">
        <v>0</v>
      </c>
      <c r="F130">
        <v>1</v>
      </c>
      <c r="G130">
        <v>102</v>
      </c>
      <c r="H130">
        <v>99</v>
      </c>
      <c r="I130">
        <v>123</v>
      </c>
      <c r="J130">
        <v>123</v>
      </c>
      <c r="K130">
        <v>0</v>
      </c>
      <c r="L130">
        <v>0.81300813008130091</v>
      </c>
      <c r="M130">
        <v>0.30909803921569379</v>
      </c>
      <c r="N130">
        <v>0.29237373737373762</v>
      </c>
      <c r="O130">
        <f>_xlfn.XLOOKUP(S130, AnglePowerMatching!$H:$H, AnglePowerMatching!$C:$C, "NaN")</f>
        <v>16</v>
      </c>
      <c r="P130">
        <f>_xlfn.XLOOKUP(S130, AnglePowerMatching!$H:$H, AnglePowerMatching!$D:$D, "NaN")</f>
        <v>3</v>
      </c>
      <c r="Q130" t="b">
        <f t="shared" si="3"/>
        <v>1</v>
      </c>
      <c r="R130">
        <f>VALUE(_xlfn.TEXTBEFORE(A130, {"L","R"}, , , , A130))</f>
        <v>948</v>
      </c>
      <c r="S130" t="str">
        <f t="shared" ref="S130:S193" si="4">R130 &amp; TEXT(B130, "yyyymmdd")</f>
        <v>94820250820</v>
      </c>
    </row>
    <row r="131" spans="1:19" x14ac:dyDescent="0.3">
      <c r="A131" t="s">
        <v>28</v>
      </c>
      <c r="B131" t="s">
        <v>115</v>
      </c>
      <c r="C131">
        <v>72.932330827067673</v>
      </c>
      <c r="D131">
        <v>76.153846153846146</v>
      </c>
      <c r="E131">
        <v>0</v>
      </c>
      <c r="F131">
        <v>2</v>
      </c>
      <c r="G131">
        <v>97</v>
      </c>
      <c r="H131">
        <v>99</v>
      </c>
      <c r="I131">
        <v>133</v>
      </c>
      <c r="J131">
        <v>132</v>
      </c>
      <c r="K131">
        <v>0</v>
      </c>
      <c r="L131">
        <v>1.5151515151515151</v>
      </c>
      <c r="M131">
        <v>0.27123711340205942</v>
      </c>
      <c r="N131">
        <v>0.27539393939393553</v>
      </c>
      <c r="O131">
        <f>_xlfn.XLOOKUP(S131, AnglePowerMatching!$H:$H, AnglePowerMatching!$C:$C, "NaN")</f>
        <v>16</v>
      </c>
      <c r="P131">
        <f>_xlfn.XLOOKUP(S131, AnglePowerMatching!$H:$H, AnglePowerMatching!$D:$D, "NaN")</f>
        <v>5</v>
      </c>
      <c r="Q131" t="b">
        <f t="shared" ref="Q131:Q194" si="5">NOT(OR(C131=0,D131=0))</f>
        <v>1</v>
      </c>
      <c r="R131">
        <f>VALUE(_xlfn.TEXTBEFORE(A131, {"L","R"}, , , , A131))</f>
        <v>948</v>
      </c>
      <c r="S131" t="str">
        <f t="shared" si="4"/>
        <v>94820250821</v>
      </c>
    </row>
    <row r="132" spans="1:19" x14ac:dyDescent="0.3">
      <c r="A132" t="s">
        <v>28</v>
      </c>
      <c r="B132" t="s">
        <v>116</v>
      </c>
      <c r="C132">
        <v>50</v>
      </c>
      <c r="D132">
        <v>66.666666666666657</v>
      </c>
      <c r="E132">
        <v>0</v>
      </c>
      <c r="F132">
        <v>0</v>
      </c>
      <c r="G132">
        <v>1</v>
      </c>
      <c r="H132">
        <v>2</v>
      </c>
      <c r="I132">
        <v>2</v>
      </c>
      <c r="J132">
        <v>3</v>
      </c>
      <c r="K132">
        <v>0</v>
      </c>
      <c r="L132">
        <v>0</v>
      </c>
      <c r="M132">
        <v>0.30699999999999861</v>
      </c>
      <c r="N132">
        <v>0.39049999999999718</v>
      </c>
      <c r="O132">
        <f>_xlfn.XLOOKUP(S132, AnglePowerMatching!$H:$H, AnglePowerMatching!$C:$C, "NaN")</f>
        <v>16</v>
      </c>
      <c r="P132">
        <f>_xlfn.XLOOKUP(S132, AnglePowerMatching!$H:$H, AnglePowerMatching!$D:$D, "NaN")</f>
        <v>10</v>
      </c>
      <c r="Q132" t="b">
        <f t="shared" si="5"/>
        <v>1</v>
      </c>
      <c r="R132">
        <f>VALUE(_xlfn.TEXTBEFORE(A132, {"L","R"}, , , , A132))</f>
        <v>948</v>
      </c>
      <c r="S132" t="str">
        <f t="shared" si="4"/>
        <v>94820250822</v>
      </c>
    </row>
    <row r="133" spans="1:19" x14ac:dyDescent="0.3">
      <c r="A133" t="s">
        <v>28</v>
      </c>
      <c r="B133" t="s">
        <v>116</v>
      </c>
      <c r="C133">
        <v>79.824561403508781</v>
      </c>
      <c r="D133">
        <v>86.08695652173914</v>
      </c>
      <c r="E133">
        <v>8</v>
      </c>
      <c r="F133">
        <v>9</v>
      </c>
      <c r="G133">
        <v>91</v>
      </c>
      <c r="H133">
        <v>99</v>
      </c>
      <c r="I133">
        <v>122</v>
      </c>
      <c r="J133">
        <v>124</v>
      </c>
      <c r="K133">
        <v>6.557377049180328</v>
      </c>
      <c r="L133">
        <v>7.2580645161290329</v>
      </c>
      <c r="M133">
        <v>0.44837362637364064</v>
      </c>
      <c r="N133">
        <v>0.45308080808080958</v>
      </c>
      <c r="O133">
        <f>_xlfn.XLOOKUP(S133, AnglePowerMatching!$H:$H, AnglePowerMatching!$C:$C, "NaN")</f>
        <v>16</v>
      </c>
      <c r="P133">
        <f>_xlfn.XLOOKUP(S133, AnglePowerMatching!$H:$H, AnglePowerMatching!$D:$D, "NaN")</f>
        <v>10</v>
      </c>
      <c r="Q133" t="b">
        <f t="shared" si="5"/>
        <v>1</v>
      </c>
      <c r="R133">
        <f>VALUE(_xlfn.TEXTBEFORE(A133, {"L","R"}, , , , A133))</f>
        <v>948</v>
      </c>
      <c r="S133" t="str">
        <f t="shared" si="4"/>
        <v>94820250822</v>
      </c>
    </row>
    <row r="134" spans="1:19" x14ac:dyDescent="0.3">
      <c r="A134" t="s">
        <v>28</v>
      </c>
      <c r="B134" t="s">
        <v>117</v>
      </c>
      <c r="C134">
        <v>71.794871794871796</v>
      </c>
      <c r="D134">
        <v>61.666666666666671</v>
      </c>
      <c r="E134">
        <v>3</v>
      </c>
      <c r="F134">
        <v>0</v>
      </c>
      <c r="G134">
        <v>84</v>
      </c>
      <c r="H134">
        <v>74</v>
      </c>
      <c r="I134">
        <v>120</v>
      </c>
      <c r="J134">
        <v>120</v>
      </c>
      <c r="K134">
        <v>2.5</v>
      </c>
      <c r="L134">
        <v>0</v>
      </c>
      <c r="M134">
        <v>0.39688095238095289</v>
      </c>
      <c r="N134">
        <v>0.41227027027027341</v>
      </c>
      <c r="O134">
        <f>_xlfn.XLOOKUP(S134, AnglePowerMatching!$H:$H, AnglePowerMatching!$C:$C, "NaN")</f>
        <v>8.6999999999999993</v>
      </c>
      <c r="P134">
        <f>_xlfn.XLOOKUP(S134, AnglePowerMatching!$H:$H, AnglePowerMatching!$D:$D, "NaN")</f>
        <v>3</v>
      </c>
      <c r="Q134" t="b">
        <f t="shared" si="5"/>
        <v>1</v>
      </c>
      <c r="R134">
        <f>VALUE(_xlfn.TEXTBEFORE(A134, {"L","R"}, , , , A134))</f>
        <v>948</v>
      </c>
      <c r="S134" t="str">
        <f t="shared" si="4"/>
        <v>94820250827</v>
      </c>
    </row>
    <row r="135" spans="1:19" x14ac:dyDescent="0.3">
      <c r="A135" t="s">
        <v>28</v>
      </c>
      <c r="B135" t="s">
        <v>118</v>
      </c>
      <c r="C135">
        <v>65.546218487394952</v>
      </c>
      <c r="D135">
        <v>54.166666666666664</v>
      </c>
      <c r="E135">
        <v>1</v>
      </c>
      <c r="F135">
        <v>0</v>
      </c>
      <c r="G135">
        <v>78</v>
      </c>
      <c r="H135">
        <v>65</v>
      </c>
      <c r="I135">
        <v>120</v>
      </c>
      <c r="J135">
        <v>120</v>
      </c>
      <c r="K135">
        <v>0.83333333333333337</v>
      </c>
      <c r="L135">
        <v>0</v>
      </c>
      <c r="M135">
        <v>0.26976923076923148</v>
      </c>
      <c r="N135">
        <v>0.25603076923075219</v>
      </c>
      <c r="O135">
        <f>_xlfn.XLOOKUP(S135, AnglePowerMatching!$H:$H, AnglePowerMatching!$C:$C, "NaN")</f>
        <v>8.6999999999999993</v>
      </c>
      <c r="P135">
        <f>_xlfn.XLOOKUP(S135, AnglePowerMatching!$H:$H, AnglePowerMatching!$D:$D, "NaN")</f>
        <v>5</v>
      </c>
      <c r="Q135" t="b">
        <f t="shared" si="5"/>
        <v>1</v>
      </c>
      <c r="R135">
        <f>VALUE(_xlfn.TEXTBEFORE(A135, {"L","R"}, , , , A135))</f>
        <v>948</v>
      </c>
      <c r="S135" t="str">
        <f t="shared" si="4"/>
        <v>94820250828</v>
      </c>
    </row>
    <row r="136" spans="1:19" x14ac:dyDescent="0.3">
      <c r="A136" t="s">
        <v>2</v>
      </c>
      <c r="B136" t="s">
        <v>119</v>
      </c>
      <c r="C136">
        <v>82.258064516129039</v>
      </c>
      <c r="D136">
        <v>71.186440677966104</v>
      </c>
      <c r="E136">
        <v>61</v>
      </c>
      <c r="F136">
        <v>64</v>
      </c>
      <c r="G136">
        <v>51</v>
      </c>
      <c r="H136">
        <v>42</v>
      </c>
      <c r="I136">
        <v>123</v>
      </c>
      <c r="J136">
        <v>123</v>
      </c>
      <c r="K136">
        <v>49.59349593495935</v>
      </c>
      <c r="L136">
        <v>52.032520325203258</v>
      </c>
      <c r="M136">
        <v>0.54680392156862667</v>
      </c>
      <c r="N136">
        <v>0.46378571428571691</v>
      </c>
      <c r="O136" t="str">
        <f>_xlfn.XLOOKUP(S136, AnglePowerMatching!$H:$H, AnglePowerMatching!$C:$C, "NaN")</f>
        <v>NaN</v>
      </c>
      <c r="P136" t="str">
        <f>_xlfn.XLOOKUP(S136, AnglePowerMatching!$H:$H, AnglePowerMatching!$D:$D, "NaN")</f>
        <v>NaN</v>
      </c>
      <c r="Q136" t="b">
        <f t="shared" si="5"/>
        <v>1</v>
      </c>
      <c r="R136">
        <f>VALUE(_xlfn.TEXTBEFORE(A136, {"L","R"}, , , , A136))</f>
        <v>949</v>
      </c>
      <c r="S136" t="str">
        <f t="shared" si="4"/>
        <v>94920250921</v>
      </c>
    </row>
    <row r="137" spans="1:19" x14ac:dyDescent="0.3">
      <c r="A137" t="s">
        <v>2</v>
      </c>
      <c r="B137" t="s">
        <v>120</v>
      </c>
      <c r="C137">
        <v>62.711864406779661</v>
      </c>
      <c r="D137">
        <v>61.864406779661017</v>
      </c>
      <c r="E137">
        <v>2</v>
      </c>
      <c r="F137">
        <v>2</v>
      </c>
      <c r="G137">
        <v>74</v>
      </c>
      <c r="H137">
        <v>73</v>
      </c>
      <c r="I137">
        <v>120</v>
      </c>
      <c r="J137">
        <v>120</v>
      </c>
      <c r="K137">
        <v>1.6666666666666667</v>
      </c>
      <c r="L137">
        <v>1.6666666666666667</v>
      </c>
      <c r="M137">
        <v>0.36732432432432077</v>
      </c>
      <c r="N137">
        <v>0.41623287671233233</v>
      </c>
      <c r="O137">
        <f>_xlfn.XLOOKUP(S137, AnglePowerMatching!$H:$H, AnglePowerMatching!$C:$C, "NaN")</f>
        <v>66</v>
      </c>
      <c r="P137">
        <f>_xlfn.XLOOKUP(S137, AnglePowerMatching!$H:$H, AnglePowerMatching!$D:$D, "NaN")</f>
        <v>10</v>
      </c>
      <c r="Q137" t="b">
        <f t="shared" si="5"/>
        <v>1</v>
      </c>
      <c r="R137">
        <f>VALUE(_xlfn.TEXTBEFORE(A137, {"L","R"}, , , , A137))</f>
        <v>949</v>
      </c>
      <c r="S137" t="str">
        <f t="shared" si="4"/>
        <v>94920250923</v>
      </c>
    </row>
    <row r="138" spans="1:19" x14ac:dyDescent="0.3">
      <c r="A138" t="s">
        <v>2</v>
      </c>
      <c r="B138" t="s">
        <v>146</v>
      </c>
      <c r="C138">
        <v>71.428571428571431</v>
      </c>
      <c r="D138">
        <v>71.666666666666671</v>
      </c>
      <c r="E138">
        <v>1</v>
      </c>
      <c r="F138">
        <v>0</v>
      </c>
      <c r="G138">
        <v>85</v>
      </c>
      <c r="H138">
        <v>86</v>
      </c>
      <c r="I138">
        <v>120</v>
      </c>
      <c r="J138">
        <v>120</v>
      </c>
      <c r="K138">
        <v>0.83333333333333337</v>
      </c>
      <c r="L138">
        <v>0</v>
      </c>
      <c r="M138">
        <v>0.44888235294117512</v>
      </c>
      <c r="N138">
        <v>0.4453023255813911</v>
      </c>
      <c r="O138">
        <f>_xlfn.XLOOKUP(S138, AnglePowerMatching!$H:$H, AnglePowerMatching!$C:$C, "NaN")</f>
        <v>90</v>
      </c>
      <c r="P138">
        <f>_xlfn.XLOOKUP(S138, AnglePowerMatching!$H:$H, AnglePowerMatching!$D:$D, "NaN")</f>
        <v>3</v>
      </c>
      <c r="Q138" t="b">
        <f t="shared" si="5"/>
        <v>1</v>
      </c>
      <c r="R138">
        <f>VALUE(_xlfn.TEXTBEFORE(A138, {"L","R"}, , , , A138))</f>
        <v>949</v>
      </c>
      <c r="S138" t="str">
        <f t="shared" si="4"/>
        <v>94920250928</v>
      </c>
    </row>
    <row r="139" spans="1:19" x14ac:dyDescent="0.3">
      <c r="A139" t="s">
        <v>2</v>
      </c>
      <c r="B139" t="s">
        <v>147</v>
      </c>
      <c r="C139">
        <v>60</v>
      </c>
      <c r="D139">
        <v>65</v>
      </c>
      <c r="E139">
        <v>0</v>
      </c>
      <c r="F139">
        <v>0</v>
      </c>
      <c r="G139">
        <v>72</v>
      </c>
      <c r="H139">
        <v>78</v>
      </c>
      <c r="I139">
        <v>120</v>
      </c>
      <c r="J139">
        <v>120</v>
      </c>
      <c r="K139">
        <v>0</v>
      </c>
      <c r="L139">
        <v>0</v>
      </c>
      <c r="M139">
        <v>0.3481111111111117</v>
      </c>
      <c r="N139">
        <v>0.34829487179488022</v>
      </c>
      <c r="O139">
        <f>_xlfn.XLOOKUP(S139, AnglePowerMatching!$H:$H, AnglePowerMatching!$C:$C, "NaN")</f>
        <v>90</v>
      </c>
      <c r="P139">
        <f>_xlfn.XLOOKUP(S139, AnglePowerMatching!$H:$H, AnglePowerMatching!$D:$D, "NaN")</f>
        <v>5</v>
      </c>
      <c r="Q139" t="b">
        <f t="shared" si="5"/>
        <v>1</v>
      </c>
      <c r="R139">
        <f>VALUE(_xlfn.TEXTBEFORE(A139, {"L","R"}, , , , A139))</f>
        <v>949</v>
      </c>
      <c r="S139" t="str">
        <f t="shared" si="4"/>
        <v>94920250929</v>
      </c>
    </row>
    <row r="140" spans="1:19" x14ac:dyDescent="0.3">
      <c r="A140" t="s">
        <v>2</v>
      </c>
      <c r="B140" t="s">
        <v>148</v>
      </c>
      <c r="C140">
        <v>60.377358490566039</v>
      </c>
      <c r="D140">
        <v>66.666666666666657</v>
      </c>
      <c r="E140">
        <v>14</v>
      </c>
      <c r="F140">
        <v>21</v>
      </c>
      <c r="G140">
        <v>64</v>
      </c>
      <c r="H140">
        <v>66</v>
      </c>
      <c r="I140">
        <v>120</v>
      </c>
      <c r="J140">
        <v>120</v>
      </c>
      <c r="K140">
        <v>11.666666666666666</v>
      </c>
      <c r="L140">
        <v>17.5</v>
      </c>
      <c r="M140">
        <v>0.4577187499999999</v>
      </c>
      <c r="N140">
        <v>0.40080303030304382</v>
      </c>
      <c r="O140">
        <f>_xlfn.XLOOKUP(S140, AnglePowerMatching!$H:$H, AnglePowerMatching!$C:$C, "NaN")</f>
        <v>90</v>
      </c>
      <c r="P140">
        <f>_xlfn.XLOOKUP(S140, AnglePowerMatching!$H:$H, AnglePowerMatching!$D:$D, "NaN")</f>
        <v>10</v>
      </c>
      <c r="Q140" t="b">
        <f t="shared" si="5"/>
        <v>1</v>
      </c>
      <c r="R140">
        <f>VALUE(_xlfn.TEXTBEFORE(A140, {"L","R"}, , , , A140))</f>
        <v>949</v>
      </c>
      <c r="S140" t="str">
        <f t="shared" si="4"/>
        <v>94920250930</v>
      </c>
    </row>
    <row r="141" spans="1:19" x14ac:dyDescent="0.3">
      <c r="A141" t="s">
        <v>2</v>
      </c>
      <c r="B141" t="s">
        <v>149</v>
      </c>
      <c r="C141">
        <v>68.103448275862064</v>
      </c>
      <c r="D141">
        <v>71.05263157894737</v>
      </c>
      <c r="E141">
        <v>4</v>
      </c>
      <c r="F141">
        <v>6</v>
      </c>
      <c r="G141">
        <v>79</v>
      </c>
      <c r="H141">
        <v>81</v>
      </c>
      <c r="I141">
        <v>120</v>
      </c>
      <c r="J141">
        <v>120</v>
      </c>
      <c r="K141">
        <v>3.3333333333333335</v>
      </c>
      <c r="L141">
        <v>5</v>
      </c>
      <c r="M141">
        <v>0.38693670886077136</v>
      </c>
      <c r="N141">
        <v>0.37046913580247542</v>
      </c>
      <c r="O141">
        <f>_xlfn.XLOOKUP(S141, AnglePowerMatching!$H:$H, AnglePowerMatching!$C:$C, "NaN")</f>
        <v>35</v>
      </c>
      <c r="P141">
        <f>_xlfn.XLOOKUP(S141, AnglePowerMatching!$H:$H, AnglePowerMatching!$D:$D, "NaN")</f>
        <v>3</v>
      </c>
      <c r="Q141" t="b">
        <f t="shared" si="5"/>
        <v>1</v>
      </c>
      <c r="R141">
        <f>VALUE(_xlfn.TEXTBEFORE(A141, {"L","R"}, , , , A141))</f>
        <v>949</v>
      </c>
      <c r="S141" t="str">
        <f t="shared" si="4"/>
        <v>94920251007</v>
      </c>
    </row>
    <row r="142" spans="1:19" x14ac:dyDescent="0.3">
      <c r="A142" t="s">
        <v>2</v>
      </c>
      <c r="B142" t="s">
        <v>150</v>
      </c>
      <c r="C142">
        <v>66.326530612244895</v>
      </c>
      <c r="D142">
        <v>72.277227722772281</v>
      </c>
      <c r="E142">
        <v>22</v>
      </c>
      <c r="F142">
        <v>19</v>
      </c>
      <c r="G142">
        <v>65</v>
      </c>
      <c r="H142">
        <v>73</v>
      </c>
      <c r="I142">
        <v>120</v>
      </c>
      <c r="J142">
        <v>120</v>
      </c>
      <c r="K142">
        <v>18.333333333333332</v>
      </c>
      <c r="L142">
        <v>15.833333333333332</v>
      </c>
      <c r="M142">
        <v>0.27530769230769969</v>
      </c>
      <c r="N142">
        <v>0.32173972602739653</v>
      </c>
      <c r="O142">
        <f>_xlfn.XLOOKUP(S142, AnglePowerMatching!$H:$H, AnglePowerMatching!$C:$C, "NaN")</f>
        <v>35</v>
      </c>
      <c r="P142">
        <f>_xlfn.XLOOKUP(S142, AnglePowerMatching!$H:$H, AnglePowerMatching!$D:$D, "NaN")</f>
        <v>5</v>
      </c>
      <c r="Q142" t="b">
        <f t="shared" si="5"/>
        <v>1</v>
      </c>
      <c r="R142">
        <f>VALUE(_xlfn.TEXTBEFORE(A142, {"L","R"}, , , , A142))</f>
        <v>949</v>
      </c>
      <c r="S142" t="str">
        <f t="shared" si="4"/>
        <v>94920251009</v>
      </c>
    </row>
    <row r="143" spans="1:19" x14ac:dyDescent="0.3">
      <c r="A143" t="s">
        <v>2</v>
      </c>
      <c r="B143" t="s">
        <v>62</v>
      </c>
      <c r="C143">
        <v>67.768595041322314</v>
      </c>
      <c r="D143">
        <v>71.666666666666671</v>
      </c>
      <c r="E143">
        <v>0</v>
      </c>
      <c r="F143">
        <v>0</v>
      </c>
      <c r="G143">
        <v>82</v>
      </c>
      <c r="H143">
        <v>86</v>
      </c>
      <c r="I143">
        <v>121</v>
      </c>
      <c r="J143">
        <v>120</v>
      </c>
      <c r="K143">
        <v>0</v>
      </c>
      <c r="L143">
        <v>0</v>
      </c>
      <c r="M143">
        <v>0.37607317073170271</v>
      </c>
      <c r="N143">
        <v>0.37939534883720938</v>
      </c>
      <c r="O143">
        <f>_xlfn.XLOOKUP(S143, AnglePowerMatching!$H:$H, AnglePowerMatching!$C:$C, "NaN")</f>
        <v>26</v>
      </c>
      <c r="P143">
        <f>_xlfn.XLOOKUP(S143, AnglePowerMatching!$H:$H, AnglePowerMatching!$D:$D, "NaN")</f>
        <v>3</v>
      </c>
      <c r="Q143" t="b">
        <f t="shared" si="5"/>
        <v>1</v>
      </c>
      <c r="R143">
        <f>VALUE(_xlfn.TEXTBEFORE(A143, {"L","R"}, , , , A143))</f>
        <v>949</v>
      </c>
      <c r="S143" t="str">
        <f t="shared" si="4"/>
        <v>94920251017</v>
      </c>
    </row>
    <row r="144" spans="1:19" x14ac:dyDescent="0.3">
      <c r="A144" t="s">
        <v>2</v>
      </c>
      <c r="B144" t="s">
        <v>63</v>
      </c>
      <c r="C144">
        <v>66.037735849056602</v>
      </c>
      <c r="D144">
        <v>58.715596330275233</v>
      </c>
      <c r="E144">
        <v>14</v>
      </c>
      <c r="F144">
        <v>11</v>
      </c>
      <c r="G144">
        <v>70</v>
      </c>
      <c r="H144">
        <v>64</v>
      </c>
      <c r="I144">
        <v>120</v>
      </c>
      <c r="J144">
        <v>120</v>
      </c>
      <c r="K144">
        <v>11.666666666666666</v>
      </c>
      <c r="L144">
        <v>9.1666666666666661</v>
      </c>
      <c r="M144">
        <v>0.33461428571427748</v>
      </c>
      <c r="N144">
        <v>0.31685937500000633</v>
      </c>
      <c r="O144">
        <f>_xlfn.XLOOKUP(S144, AnglePowerMatching!$H:$H, AnglePowerMatching!$C:$C, "NaN")</f>
        <v>26</v>
      </c>
      <c r="P144">
        <f>_xlfn.XLOOKUP(S144, AnglePowerMatching!$H:$H, AnglePowerMatching!$D:$D, "NaN")</f>
        <v>5</v>
      </c>
      <c r="Q144" t="b">
        <f t="shared" si="5"/>
        <v>1</v>
      </c>
      <c r="R144">
        <f>VALUE(_xlfn.TEXTBEFORE(A144, {"L","R"}, , , , A144))</f>
        <v>949</v>
      </c>
      <c r="S144" t="str">
        <f t="shared" si="4"/>
        <v>94920251018</v>
      </c>
    </row>
    <row r="145" spans="1:19" x14ac:dyDescent="0.3">
      <c r="A145" t="s">
        <v>2</v>
      </c>
      <c r="B145" t="s">
        <v>64</v>
      </c>
      <c r="C145">
        <v>60.526315789473685</v>
      </c>
      <c r="D145">
        <v>63.095238095238095</v>
      </c>
      <c r="E145">
        <v>44</v>
      </c>
      <c r="F145">
        <v>36</v>
      </c>
      <c r="G145">
        <v>46</v>
      </c>
      <c r="H145">
        <v>53</v>
      </c>
      <c r="I145">
        <v>120</v>
      </c>
      <c r="J145">
        <v>120</v>
      </c>
      <c r="K145">
        <v>36.666666666666664</v>
      </c>
      <c r="L145">
        <v>30</v>
      </c>
      <c r="M145">
        <v>0.36330434782609411</v>
      </c>
      <c r="N145">
        <v>0.37439622641508019</v>
      </c>
      <c r="O145">
        <f>_xlfn.XLOOKUP(S145, AnglePowerMatching!$H:$H, AnglePowerMatching!$C:$C, "NaN")</f>
        <v>16</v>
      </c>
      <c r="P145">
        <f>_xlfn.XLOOKUP(S145, AnglePowerMatching!$H:$H, AnglePowerMatching!$D:$D, "NaN")</f>
        <v>3</v>
      </c>
      <c r="Q145" t="b">
        <f t="shared" si="5"/>
        <v>1</v>
      </c>
      <c r="R145">
        <f>VALUE(_xlfn.TEXTBEFORE(A145, {"L","R"}, , , , A145))</f>
        <v>949</v>
      </c>
      <c r="S145" t="str">
        <f t="shared" si="4"/>
        <v>94920251025</v>
      </c>
    </row>
    <row r="146" spans="1:19" x14ac:dyDescent="0.3">
      <c r="A146" t="s">
        <v>2</v>
      </c>
      <c r="B146" t="s">
        <v>65</v>
      </c>
      <c r="C146">
        <v>56.666666666666664</v>
      </c>
      <c r="D146">
        <v>47.5</v>
      </c>
      <c r="E146">
        <v>0</v>
      </c>
      <c r="F146">
        <v>0</v>
      </c>
      <c r="G146">
        <v>68</v>
      </c>
      <c r="H146">
        <v>57</v>
      </c>
      <c r="I146">
        <v>120</v>
      </c>
      <c r="J146">
        <v>120</v>
      </c>
      <c r="K146">
        <v>0</v>
      </c>
      <c r="L146">
        <v>0</v>
      </c>
      <c r="M146">
        <v>0.17680882352942023</v>
      </c>
      <c r="N146">
        <v>0.20159649122807055</v>
      </c>
      <c r="O146">
        <f>_xlfn.XLOOKUP(S146, AnglePowerMatching!$H:$H, AnglePowerMatching!$C:$C, "NaN")</f>
        <v>16</v>
      </c>
      <c r="P146">
        <f>_xlfn.XLOOKUP(S146, AnglePowerMatching!$H:$H, AnglePowerMatching!$D:$D, "NaN")</f>
        <v>5</v>
      </c>
      <c r="Q146" t="b">
        <f t="shared" si="5"/>
        <v>1</v>
      </c>
      <c r="R146">
        <f>VALUE(_xlfn.TEXTBEFORE(A146, {"L","R"}, , , , A146))</f>
        <v>949</v>
      </c>
      <c r="S146" t="str">
        <f t="shared" si="4"/>
        <v>94920251026</v>
      </c>
    </row>
    <row r="147" spans="1:19" x14ac:dyDescent="0.3">
      <c r="A147" t="s">
        <v>2</v>
      </c>
      <c r="B147" t="s">
        <v>66</v>
      </c>
      <c r="C147">
        <v>64.912280701754383</v>
      </c>
      <c r="D147">
        <v>70.535714285714292</v>
      </c>
      <c r="E147">
        <v>6</v>
      </c>
      <c r="F147">
        <v>8</v>
      </c>
      <c r="G147">
        <v>74</v>
      </c>
      <c r="H147">
        <v>79</v>
      </c>
      <c r="I147">
        <v>120</v>
      </c>
      <c r="J147">
        <v>120</v>
      </c>
      <c r="K147">
        <v>5</v>
      </c>
      <c r="L147">
        <v>6.666666666666667</v>
      </c>
      <c r="M147">
        <v>2.4707567567567708</v>
      </c>
      <c r="N147">
        <v>0.71715189873416929</v>
      </c>
      <c r="O147">
        <f>_xlfn.XLOOKUP(S147, AnglePowerMatching!$H:$H, AnglePowerMatching!$C:$C, "NaN")</f>
        <v>16</v>
      </c>
      <c r="P147">
        <f>_xlfn.XLOOKUP(S147, AnglePowerMatching!$H:$H, AnglePowerMatching!$D:$D, "NaN")</f>
        <v>40</v>
      </c>
      <c r="Q147" t="b">
        <f t="shared" si="5"/>
        <v>1</v>
      </c>
      <c r="R147">
        <f>VALUE(_xlfn.TEXTBEFORE(A147, {"L","R"}, , , , A147))</f>
        <v>949</v>
      </c>
      <c r="S147" t="str">
        <f t="shared" si="4"/>
        <v>94920251027</v>
      </c>
    </row>
    <row r="148" spans="1:19" x14ac:dyDescent="0.3">
      <c r="A148" t="s">
        <v>2</v>
      </c>
      <c r="B148" t="s">
        <v>70</v>
      </c>
      <c r="C148">
        <v>43.333333333333336</v>
      </c>
      <c r="D148">
        <v>57.627118644067799</v>
      </c>
      <c r="E148">
        <v>0</v>
      </c>
      <c r="F148">
        <v>2</v>
      </c>
      <c r="G148">
        <v>52</v>
      </c>
      <c r="H148">
        <v>68</v>
      </c>
      <c r="I148">
        <v>120</v>
      </c>
      <c r="J148">
        <v>120</v>
      </c>
      <c r="K148">
        <v>0</v>
      </c>
      <c r="L148">
        <v>1.6666666666666667</v>
      </c>
      <c r="M148">
        <v>0.29963461538463798</v>
      </c>
      <c r="N148">
        <v>0.27985294117646831</v>
      </c>
      <c r="O148">
        <f>_xlfn.XLOOKUP(S148, AnglePowerMatching!$H:$H, AnglePowerMatching!$C:$C, "NaN")</f>
        <v>8.6999999999999993</v>
      </c>
      <c r="P148">
        <f>_xlfn.XLOOKUP(S148, AnglePowerMatching!$H:$H, AnglePowerMatching!$D:$D, "NaN")</f>
        <v>3</v>
      </c>
      <c r="Q148" t="b">
        <f t="shared" si="5"/>
        <v>1</v>
      </c>
      <c r="R148">
        <f>VALUE(_xlfn.TEXTBEFORE(A148, {"L","R"}, , , , A148))</f>
        <v>949</v>
      </c>
      <c r="S148" t="str">
        <f t="shared" si="4"/>
        <v>94920251105</v>
      </c>
    </row>
    <row r="149" spans="1:19" x14ac:dyDescent="0.3">
      <c r="A149" t="s">
        <v>2</v>
      </c>
      <c r="B149" t="s">
        <v>83</v>
      </c>
      <c r="C149">
        <v>65.546218487394952</v>
      </c>
      <c r="D149">
        <v>63.865546218487388</v>
      </c>
      <c r="E149">
        <v>1</v>
      </c>
      <c r="F149">
        <v>1</v>
      </c>
      <c r="G149">
        <v>78</v>
      </c>
      <c r="H149">
        <v>76</v>
      </c>
      <c r="I149">
        <v>120</v>
      </c>
      <c r="J149">
        <v>120</v>
      </c>
      <c r="K149">
        <v>0.83333333333333337</v>
      </c>
      <c r="L149">
        <v>0.83333333333333337</v>
      </c>
      <c r="M149">
        <v>0.49816666666666759</v>
      </c>
      <c r="N149">
        <v>0.49356578947368451</v>
      </c>
      <c r="O149">
        <f>_xlfn.XLOOKUP(S149, AnglePowerMatching!$H:$H, AnglePowerMatching!$C:$C, "NaN")</f>
        <v>8.6999999999999993</v>
      </c>
      <c r="P149">
        <f>_xlfn.XLOOKUP(S149, AnglePowerMatching!$H:$H, AnglePowerMatching!$D:$D, "NaN")</f>
        <v>5</v>
      </c>
      <c r="Q149" t="b">
        <f t="shared" si="5"/>
        <v>1</v>
      </c>
      <c r="R149">
        <f>VALUE(_xlfn.TEXTBEFORE(A149, {"L","R"}, , , , A149))</f>
        <v>949</v>
      </c>
      <c r="S149" t="str">
        <f t="shared" si="4"/>
        <v>94920251107</v>
      </c>
    </row>
    <row r="150" spans="1:19" x14ac:dyDescent="0.3">
      <c r="A150" t="s">
        <v>2</v>
      </c>
      <c r="B150" t="s">
        <v>84</v>
      </c>
      <c r="C150">
        <v>68.807339449541288</v>
      </c>
      <c r="D150">
        <v>69.158878504672899</v>
      </c>
      <c r="E150">
        <v>11</v>
      </c>
      <c r="F150">
        <v>13</v>
      </c>
      <c r="G150">
        <v>75</v>
      </c>
      <c r="H150">
        <v>74</v>
      </c>
      <c r="I150">
        <v>120</v>
      </c>
      <c r="J150">
        <v>120</v>
      </c>
      <c r="K150">
        <v>9.1666666666666661</v>
      </c>
      <c r="L150">
        <v>10.833333333333334</v>
      </c>
      <c r="M150">
        <v>0.41725333333333481</v>
      </c>
      <c r="N150">
        <v>0.44547297297297916</v>
      </c>
      <c r="O150">
        <f>_xlfn.XLOOKUP(S150, AnglePowerMatching!$H:$H, AnglePowerMatching!$C:$C, "NaN")</f>
        <v>8.6999999999999993</v>
      </c>
      <c r="P150">
        <f>_xlfn.XLOOKUP(S150, AnglePowerMatching!$H:$H, AnglePowerMatching!$D:$D, "NaN")</f>
        <v>10</v>
      </c>
      <c r="Q150" t="b">
        <f t="shared" si="5"/>
        <v>1</v>
      </c>
      <c r="R150">
        <f>VALUE(_xlfn.TEXTBEFORE(A150, {"L","R"}, , , , A150))</f>
        <v>949</v>
      </c>
      <c r="S150" t="str">
        <f t="shared" si="4"/>
        <v>94920251108</v>
      </c>
    </row>
    <row r="151" spans="1:19" x14ac:dyDescent="0.3">
      <c r="A151" t="s">
        <v>2</v>
      </c>
      <c r="B151" t="s">
        <v>144</v>
      </c>
      <c r="C151">
        <v>67.241379310344826</v>
      </c>
      <c r="D151">
        <v>71.304347826086953</v>
      </c>
      <c r="E151">
        <v>4</v>
      </c>
      <c r="F151">
        <v>5</v>
      </c>
      <c r="G151">
        <v>78</v>
      </c>
      <c r="H151">
        <v>82</v>
      </c>
      <c r="I151">
        <v>120</v>
      </c>
      <c r="J151">
        <v>120</v>
      </c>
      <c r="K151">
        <v>3.3333333333333335</v>
      </c>
      <c r="L151">
        <v>4.1666666666666661</v>
      </c>
      <c r="M151">
        <v>0.39625641025640768</v>
      </c>
      <c r="N151">
        <v>0.43242682926830356</v>
      </c>
      <c r="O151">
        <f>_xlfn.XLOOKUP(S151, AnglePowerMatching!$H:$H, AnglePowerMatching!$C:$C, "NaN")</f>
        <v>35</v>
      </c>
      <c r="P151">
        <f>_xlfn.XLOOKUP(S151, AnglePowerMatching!$H:$H, AnglePowerMatching!$D:$D, "NaN")</f>
        <v>5</v>
      </c>
      <c r="Q151" t="b">
        <f t="shared" si="5"/>
        <v>1</v>
      </c>
      <c r="R151">
        <f>VALUE(_xlfn.TEXTBEFORE(A151, {"L","R"}, , , , A151))</f>
        <v>949</v>
      </c>
      <c r="S151" t="str">
        <f t="shared" si="4"/>
        <v>94920251113</v>
      </c>
    </row>
    <row r="152" spans="1:19" x14ac:dyDescent="0.3">
      <c r="A152" t="s">
        <v>2</v>
      </c>
      <c r="B152" t="s">
        <v>145</v>
      </c>
      <c r="C152">
        <v>77.41935483870968</v>
      </c>
      <c r="D152">
        <v>81.889763779527556</v>
      </c>
      <c r="E152">
        <v>1</v>
      </c>
      <c r="F152">
        <v>1</v>
      </c>
      <c r="G152">
        <v>96</v>
      </c>
      <c r="H152">
        <v>104</v>
      </c>
      <c r="I152">
        <v>125</v>
      </c>
      <c r="J152">
        <v>128</v>
      </c>
      <c r="K152">
        <v>0.8</v>
      </c>
      <c r="L152">
        <v>0.78125</v>
      </c>
      <c r="M152">
        <v>0.55629166666667362</v>
      </c>
      <c r="N152">
        <v>0.58386538461538318</v>
      </c>
      <c r="O152">
        <f>_xlfn.XLOOKUP(S152, AnglePowerMatching!$H:$H, AnglePowerMatching!$C:$C, "NaN")</f>
        <v>35</v>
      </c>
      <c r="P152">
        <f>_xlfn.XLOOKUP(S152, AnglePowerMatching!$H:$H, AnglePowerMatching!$D:$D, "NaN")</f>
        <v>5</v>
      </c>
      <c r="Q152" t="b">
        <f t="shared" si="5"/>
        <v>1</v>
      </c>
      <c r="R152">
        <f>VALUE(_xlfn.TEXTBEFORE(A152, {"L","R"}, , , , A152))</f>
        <v>949</v>
      </c>
      <c r="S152" t="str">
        <f t="shared" si="4"/>
        <v>94920251114</v>
      </c>
    </row>
    <row r="153" spans="1:19" x14ac:dyDescent="0.3">
      <c r="A153" t="s">
        <v>2</v>
      </c>
      <c r="B153" t="s">
        <v>151</v>
      </c>
      <c r="C153">
        <v>81.666666666666671</v>
      </c>
      <c r="D153">
        <v>70.833333333333343</v>
      </c>
      <c r="E153">
        <v>0</v>
      </c>
      <c r="F153">
        <v>0</v>
      </c>
      <c r="G153">
        <v>98</v>
      </c>
      <c r="H153">
        <v>85</v>
      </c>
      <c r="I153">
        <v>120</v>
      </c>
      <c r="J153">
        <v>120</v>
      </c>
      <c r="K153">
        <v>0</v>
      </c>
      <c r="L153">
        <v>0</v>
      </c>
      <c r="M153">
        <v>0.48596938775509757</v>
      </c>
      <c r="N153">
        <v>0.46869411764704894</v>
      </c>
      <c r="O153">
        <f>_xlfn.XLOOKUP(S153, AnglePowerMatching!$H:$H, AnglePowerMatching!$C:$C, "NaN")</f>
        <v>66</v>
      </c>
      <c r="P153">
        <f>_xlfn.XLOOKUP(S153, AnglePowerMatching!$H:$H, AnglePowerMatching!$D:$D, "NaN")</f>
        <v>5</v>
      </c>
      <c r="Q153" t="b">
        <f t="shared" si="5"/>
        <v>1</v>
      </c>
      <c r="R153">
        <f>VALUE(_xlfn.TEXTBEFORE(A153, {"L","R"}, , , , A153))</f>
        <v>949</v>
      </c>
      <c r="S153" t="str">
        <f t="shared" si="4"/>
        <v>94920251115</v>
      </c>
    </row>
    <row r="154" spans="1:19" x14ac:dyDescent="0.3">
      <c r="A154" t="s">
        <v>2</v>
      </c>
      <c r="B154" t="s">
        <v>152</v>
      </c>
      <c r="C154">
        <v>60.833333333333329</v>
      </c>
      <c r="D154">
        <v>55.833333333333336</v>
      </c>
      <c r="E154">
        <v>0</v>
      </c>
      <c r="F154">
        <v>0</v>
      </c>
      <c r="G154">
        <v>73</v>
      </c>
      <c r="H154">
        <v>67</v>
      </c>
      <c r="I154">
        <v>120</v>
      </c>
      <c r="J154">
        <v>120</v>
      </c>
      <c r="K154">
        <v>0</v>
      </c>
      <c r="L154">
        <v>0</v>
      </c>
      <c r="M154">
        <v>0.27450684931506208</v>
      </c>
      <c r="N154">
        <v>0.26871641791045919</v>
      </c>
      <c r="O154">
        <f>_xlfn.XLOOKUP(S154, AnglePowerMatching!$H:$H, AnglePowerMatching!$C:$C, "NaN")</f>
        <v>66</v>
      </c>
      <c r="P154">
        <f>_xlfn.XLOOKUP(S154, AnglePowerMatching!$H:$H, AnglePowerMatching!$D:$D, "NaN")</f>
        <v>3</v>
      </c>
      <c r="Q154" t="b">
        <f t="shared" si="5"/>
        <v>1</v>
      </c>
      <c r="R154">
        <f>VALUE(_xlfn.TEXTBEFORE(A154, {"L","R"}, , , , A154))</f>
        <v>949</v>
      </c>
      <c r="S154" t="str">
        <f t="shared" si="4"/>
        <v>94920251120</v>
      </c>
    </row>
    <row r="155" spans="1:19" x14ac:dyDescent="0.3">
      <c r="A155" t="s">
        <v>2</v>
      </c>
      <c r="B155" t="s">
        <v>121</v>
      </c>
      <c r="C155">
        <v>83.80952380952381</v>
      </c>
      <c r="D155">
        <v>86.79245283018868</v>
      </c>
      <c r="E155">
        <v>15</v>
      </c>
      <c r="F155">
        <v>14</v>
      </c>
      <c r="G155">
        <v>88</v>
      </c>
      <c r="H155">
        <v>92</v>
      </c>
      <c r="I155">
        <v>120</v>
      </c>
      <c r="J155">
        <v>120</v>
      </c>
      <c r="K155">
        <v>12.5</v>
      </c>
      <c r="L155">
        <v>11.666666666666666</v>
      </c>
      <c r="M155">
        <v>0.39000000000000168</v>
      </c>
      <c r="N155">
        <v>0.38792391304348878</v>
      </c>
      <c r="O155">
        <f>_xlfn.XLOOKUP(S155, AnglePowerMatching!$H:$H, AnglePowerMatching!$C:$C, "NaN")</f>
        <v>66</v>
      </c>
      <c r="P155">
        <f>_xlfn.XLOOKUP(S155, AnglePowerMatching!$H:$H, AnglePowerMatching!$D:$D, "NaN")</f>
        <v>5</v>
      </c>
      <c r="Q155" t="b">
        <f t="shared" si="5"/>
        <v>1</v>
      </c>
      <c r="R155">
        <f>VALUE(_xlfn.TEXTBEFORE(A155, {"L","R"}, , , , A155))</f>
        <v>949</v>
      </c>
      <c r="S155" t="str">
        <f t="shared" si="4"/>
        <v>94920251121</v>
      </c>
    </row>
    <row r="156" spans="1:19" x14ac:dyDescent="0.3">
      <c r="A156" t="s">
        <v>2</v>
      </c>
      <c r="B156" t="s">
        <v>40</v>
      </c>
      <c r="C156">
        <v>65.833333333333329</v>
      </c>
      <c r="D156">
        <v>63.865546218487388</v>
      </c>
      <c r="E156">
        <v>0</v>
      </c>
      <c r="F156">
        <v>1</v>
      </c>
      <c r="G156">
        <v>79</v>
      </c>
      <c r="H156">
        <v>76</v>
      </c>
      <c r="I156">
        <v>120</v>
      </c>
      <c r="J156">
        <v>120</v>
      </c>
      <c r="K156">
        <v>0</v>
      </c>
      <c r="L156">
        <v>0.83333333333333337</v>
      </c>
      <c r="M156">
        <v>0.2676075949367055</v>
      </c>
      <c r="N156">
        <v>0.27099999999999164</v>
      </c>
      <c r="O156">
        <f>_xlfn.XLOOKUP(S156, AnglePowerMatching!$H:$H, AnglePowerMatching!$C:$C, "NaN")</f>
        <v>66</v>
      </c>
      <c r="P156">
        <f>_xlfn.XLOOKUP(S156, AnglePowerMatching!$H:$H, AnglePowerMatching!$D:$D, "NaN")</f>
        <v>3</v>
      </c>
      <c r="Q156" t="b">
        <f t="shared" si="5"/>
        <v>1</v>
      </c>
      <c r="R156">
        <f>VALUE(_xlfn.TEXTBEFORE(A156, {"L","R"}, , , , A156))</f>
        <v>949</v>
      </c>
      <c r="S156" t="str">
        <f t="shared" si="4"/>
        <v>94920251122</v>
      </c>
    </row>
    <row r="157" spans="1:19" x14ac:dyDescent="0.3">
      <c r="A157" t="s">
        <v>2</v>
      </c>
      <c r="B157" t="s">
        <v>122</v>
      </c>
      <c r="C157">
        <v>56.034482758620683</v>
      </c>
      <c r="D157">
        <v>58.974358974358978</v>
      </c>
      <c r="E157">
        <v>6</v>
      </c>
      <c r="F157">
        <v>3</v>
      </c>
      <c r="G157">
        <v>65</v>
      </c>
      <c r="H157">
        <v>69</v>
      </c>
      <c r="I157">
        <v>122</v>
      </c>
      <c r="J157">
        <v>120</v>
      </c>
      <c r="K157">
        <v>4.918032786885246</v>
      </c>
      <c r="L157">
        <v>2.5</v>
      </c>
      <c r="M157">
        <v>0.34969230769230525</v>
      </c>
      <c r="N157">
        <v>0.34926086956523578</v>
      </c>
      <c r="O157">
        <f>_xlfn.XLOOKUP(S157, AnglePowerMatching!$H:$H, AnglePowerMatching!$C:$C, "NaN")</f>
        <v>66</v>
      </c>
      <c r="P157" t="str">
        <f>_xlfn.XLOOKUP(S157, AnglePowerMatching!$H:$H, AnglePowerMatching!$D:$D, "NaN")</f>
        <v>3 masker</v>
      </c>
      <c r="Q157" t="b">
        <f t="shared" si="5"/>
        <v>1</v>
      </c>
      <c r="R157">
        <f>VALUE(_xlfn.TEXTBEFORE(A157, {"L","R"}, , , , A157))</f>
        <v>949</v>
      </c>
      <c r="S157" t="str">
        <f t="shared" si="4"/>
        <v>94920251125</v>
      </c>
    </row>
    <row r="158" spans="1:19" x14ac:dyDescent="0.3">
      <c r="A158" t="s">
        <v>2</v>
      </c>
      <c r="B158" t="s">
        <v>123</v>
      </c>
      <c r="C158">
        <v>46.825396825396822</v>
      </c>
      <c r="D158">
        <v>52.205882352941181</v>
      </c>
      <c r="E158">
        <v>19</v>
      </c>
      <c r="F158">
        <v>10</v>
      </c>
      <c r="G158">
        <v>59</v>
      </c>
      <c r="H158">
        <v>71</v>
      </c>
      <c r="I158">
        <v>145</v>
      </c>
      <c r="J158">
        <v>146</v>
      </c>
      <c r="K158">
        <v>13.103448275862069</v>
      </c>
      <c r="L158">
        <v>6.8493150684931505</v>
      </c>
      <c r="M158">
        <v>0.24247457627118363</v>
      </c>
      <c r="N158">
        <v>0.23307042253521684</v>
      </c>
      <c r="O158">
        <f>_xlfn.XLOOKUP(S158, AnglePowerMatching!$H:$H, AnglePowerMatching!$C:$C, "NaN")</f>
        <v>66</v>
      </c>
      <c r="P158" t="str">
        <f>_xlfn.XLOOKUP(S158, AnglePowerMatching!$H:$H, AnglePowerMatching!$D:$D, "NaN")</f>
        <v>5 masker</v>
      </c>
      <c r="Q158" t="b">
        <f t="shared" si="5"/>
        <v>1</v>
      </c>
      <c r="R158">
        <f>VALUE(_xlfn.TEXTBEFORE(A158, {"L","R"}, , , , A158))</f>
        <v>949</v>
      </c>
      <c r="S158" t="str">
        <f t="shared" si="4"/>
        <v>94920251204</v>
      </c>
    </row>
    <row r="159" spans="1:19" x14ac:dyDescent="0.3">
      <c r="A159" t="s">
        <v>2</v>
      </c>
      <c r="B159" t="s">
        <v>47</v>
      </c>
      <c r="C159">
        <v>50</v>
      </c>
      <c r="D159">
        <v>50.833333333333329</v>
      </c>
      <c r="E159">
        <v>0</v>
      </c>
      <c r="F159">
        <v>0</v>
      </c>
      <c r="G159">
        <v>60</v>
      </c>
      <c r="H159">
        <v>61</v>
      </c>
      <c r="I159">
        <v>120</v>
      </c>
      <c r="J159">
        <v>120</v>
      </c>
      <c r="K159">
        <v>0</v>
      </c>
      <c r="L159">
        <v>0</v>
      </c>
      <c r="M159">
        <v>0.19335000000000252</v>
      </c>
      <c r="N159">
        <v>0.17386885245902597</v>
      </c>
      <c r="O159">
        <f>_xlfn.XLOOKUP(S159, AnglePowerMatching!$H:$H, AnglePowerMatching!$C:$C, "NaN")</f>
        <v>66</v>
      </c>
      <c r="P159" t="str">
        <f>_xlfn.XLOOKUP(S159, AnglePowerMatching!$H:$H, AnglePowerMatching!$D:$D, "NaN")</f>
        <v>10 masker</v>
      </c>
      <c r="Q159" t="b">
        <f t="shared" si="5"/>
        <v>1</v>
      </c>
      <c r="R159">
        <f>VALUE(_xlfn.TEXTBEFORE(A159, {"L","R"}, , , , A159))</f>
        <v>949</v>
      </c>
      <c r="S159" t="str">
        <f t="shared" si="4"/>
        <v>94920251217</v>
      </c>
    </row>
    <row r="160" spans="1:19" x14ac:dyDescent="0.3">
      <c r="A160" t="s">
        <v>2</v>
      </c>
      <c r="B160" t="s">
        <v>48</v>
      </c>
      <c r="C160">
        <v>48.760330578512395</v>
      </c>
      <c r="D160">
        <v>60.833333333333329</v>
      </c>
      <c r="E160">
        <v>0</v>
      </c>
      <c r="F160">
        <v>0</v>
      </c>
      <c r="G160">
        <v>59</v>
      </c>
      <c r="H160">
        <v>73</v>
      </c>
      <c r="I160">
        <v>121</v>
      </c>
      <c r="J160">
        <v>120</v>
      </c>
      <c r="K160">
        <v>0</v>
      </c>
      <c r="L160">
        <v>0</v>
      </c>
      <c r="M160">
        <v>0.20428813559321235</v>
      </c>
      <c r="N160">
        <v>0.19789041095890911</v>
      </c>
      <c r="O160" t="str">
        <f>_xlfn.XLOOKUP(S160, AnglePowerMatching!$H:$H, AnglePowerMatching!$C:$C, "NaN")</f>
        <v>NaN</v>
      </c>
      <c r="P160" t="str">
        <f>_xlfn.XLOOKUP(S160, AnglePowerMatching!$H:$H, AnglePowerMatching!$D:$D, "NaN")</f>
        <v>NaN</v>
      </c>
      <c r="Q160" t="b">
        <f t="shared" si="5"/>
        <v>1</v>
      </c>
      <c r="R160">
        <f>VALUE(_xlfn.TEXTBEFORE(A160, {"L","R"}, , , , A160))</f>
        <v>949</v>
      </c>
      <c r="S160" t="str">
        <f t="shared" si="4"/>
        <v>94920251218</v>
      </c>
    </row>
    <row r="161" spans="1:19" x14ac:dyDescent="0.3">
      <c r="A161" t="s">
        <v>2</v>
      </c>
      <c r="B161" t="s">
        <v>50</v>
      </c>
      <c r="C161">
        <v>62.711864406779661</v>
      </c>
      <c r="D161">
        <v>59.166666666666664</v>
      </c>
      <c r="E161">
        <v>2</v>
      </c>
      <c r="F161">
        <v>0</v>
      </c>
      <c r="G161">
        <v>74</v>
      </c>
      <c r="H161">
        <v>71</v>
      </c>
      <c r="I161">
        <v>120</v>
      </c>
      <c r="J161">
        <v>120</v>
      </c>
      <c r="K161">
        <v>1.6666666666666667</v>
      </c>
      <c r="L161">
        <v>0</v>
      </c>
      <c r="M161">
        <v>0.36654054054054142</v>
      </c>
      <c r="N161">
        <v>0.33823943661971351</v>
      </c>
      <c r="O161">
        <f>_xlfn.XLOOKUP(S161, AnglePowerMatching!$H:$H, AnglePowerMatching!$C:$C, "NaN")</f>
        <v>90</v>
      </c>
      <c r="P161">
        <f>_xlfn.XLOOKUP(S161, AnglePowerMatching!$H:$H, AnglePowerMatching!$D:$D, "NaN")</f>
        <v>10</v>
      </c>
      <c r="Q161" t="b">
        <f t="shared" si="5"/>
        <v>1</v>
      </c>
      <c r="R161">
        <f>VALUE(_xlfn.TEXTBEFORE(A161, {"L","R"}, , , , A161))</f>
        <v>949</v>
      </c>
      <c r="S161" t="str">
        <f t="shared" si="4"/>
        <v>94920251231</v>
      </c>
    </row>
    <row r="162" spans="1:19" x14ac:dyDescent="0.3">
      <c r="A162" t="s">
        <v>2</v>
      </c>
      <c r="B162" t="s">
        <v>51</v>
      </c>
      <c r="C162">
        <v>71.428571428571431</v>
      </c>
      <c r="D162">
        <v>75</v>
      </c>
      <c r="E162">
        <v>1</v>
      </c>
      <c r="F162">
        <v>0</v>
      </c>
      <c r="G162">
        <v>85</v>
      </c>
      <c r="H162">
        <v>90</v>
      </c>
      <c r="I162">
        <v>120</v>
      </c>
      <c r="J162">
        <v>120</v>
      </c>
      <c r="K162">
        <v>0.83333333333333337</v>
      </c>
      <c r="L162">
        <v>0</v>
      </c>
      <c r="M162">
        <v>0.4181882352941072</v>
      </c>
      <c r="N162">
        <v>0.40737777777776957</v>
      </c>
      <c r="O162">
        <f>_xlfn.XLOOKUP(S162, AnglePowerMatching!$H:$H, AnglePowerMatching!$C:$C, "NaN")</f>
        <v>35</v>
      </c>
      <c r="P162">
        <f>_xlfn.XLOOKUP(S162, AnglePowerMatching!$H:$H, AnglePowerMatching!$D:$D, "NaN")</f>
        <v>10</v>
      </c>
      <c r="Q162" t="b">
        <f t="shared" si="5"/>
        <v>1</v>
      </c>
      <c r="R162">
        <f>VALUE(_xlfn.TEXTBEFORE(A162, {"L","R"}, , , , A162))</f>
        <v>949</v>
      </c>
      <c r="S162" t="str">
        <f t="shared" si="4"/>
        <v>94920260107</v>
      </c>
    </row>
    <row r="163" spans="1:19" x14ac:dyDescent="0.3">
      <c r="A163" t="s">
        <v>2</v>
      </c>
      <c r="B163" t="s">
        <v>52</v>
      </c>
      <c r="C163">
        <v>70</v>
      </c>
      <c r="D163">
        <v>78.991596638655466</v>
      </c>
      <c r="E163">
        <v>0</v>
      </c>
      <c r="F163">
        <v>1</v>
      </c>
      <c r="G163">
        <v>84</v>
      </c>
      <c r="H163">
        <v>94</v>
      </c>
      <c r="I163">
        <v>120</v>
      </c>
      <c r="J163">
        <v>120</v>
      </c>
      <c r="K163">
        <v>0</v>
      </c>
      <c r="L163">
        <v>0.83333333333333337</v>
      </c>
      <c r="M163">
        <v>0.40661904761904466</v>
      </c>
      <c r="N163">
        <v>0.4180638297872401</v>
      </c>
      <c r="O163">
        <f>_xlfn.XLOOKUP(S163, AnglePowerMatching!$H:$H, AnglePowerMatching!$C:$C, "NaN")</f>
        <v>35</v>
      </c>
      <c r="P163">
        <f>_xlfn.XLOOKUP(S163, AnglePowerMatching!$H:$H, AnglePowerMatching!$D:$D, "NaN")</f>
        <v>10</v>
      </c>
      <c r="Q163" t="b">
        <f t="shared" si="5"/>
        <v>1</v>
      </c>
      <c r="R163">
        <f>VALUE(_xlfn.TEXTBEFORE(A163, {"L","R"}, , , , A163))</f>
        <v>949</v>
      </c>
      <c r="S163" t="str">
        <f t="shared" si="4"/>
        <v>94920260108</v>
      </c>
    </row>
    <row r="164" spans="1:19" x14ac:dyDescent="0.3">
      <c r="A164" t="s">
        <v>2</v>
      </c>
      <c r="B164" t="s">
        <v>86</v>
      </c>
      <c r="C164">
        <v>70</v>
      </c>
      <c r="D164">
        <v>62.5</v>
      </c>
      <c r="E164">
        <v>0</v>
      </c>
      <c r="F164">
        <v>0</v>
      </c>
      <c r="G164">
        <v>84</v>
      </c>
      <c r="H164">
        <v>75</v>
      </c>
      <c r="I164">
        <v>120</v>
      </c>
      <c r="J164">
        <v>120</v>
      </c>
      <c r="K164">
        <v>0</v>
      </c>
      <c r="L164">
        <v>0</v>
      </c>
      <c r="M164">
        <v>0.3704761904761848</v>
      </c>
      <c r="N164">
        <v>0.35506666666665798</v>
      </c>
      <c r="O164">
        <f>_xlfn.XLOOKUP(S164, AnglePowerMatching!$H:$H, AnglePowerMatching!$C:$C, "NaN")</f>
        <v>26</v>
      </c>
      <c r="P164">
        <f>_xlfn.XLOOKUP(S164, AnglePowerMatching!$H:$H, AnglePowerMatching!$D:$D, "NaN")</f>
        <v>3</v>
      </c>
      <c r="Q164" t="b">
        <f t="shared" si="5"/>
        <v>1</v>
      </c>
      <c r="R164">
        <f>VALUE(_xlfn.TEXTBEFORE(A164, {"L","R"}, , , , A164))</f>
        <v>949</v>
      </c>
      <c r="S164" t="str">
        <f t="shared" si="4"/>
        <v>94920260114</v>
      </c>
    </row>
    <row r="165" spans="1:19" x14ac:dyDescent="0.3">
      <c r="A165" t="s">
        <v>2</v>
      </c>
      <c r="B165" t="s">
        <v>7</v>
      </c>
      <c r="C165">
        <v>59.166666666666664</v>
      </c>
      <c r="D165">
        <v>60</v>
      </c>
      <c r="E165">
        <v>0</v>
      </c>
      <c r="F165">
        <v>0</v>
      </c>
      <c r="G165">
        <v>71</v>
      </c>
      <c r="H165">
        <v>72</v>
      </c>
      <c r="I165">
        <v>120</v>
      </c>
      <c r="J165">
        <v>120</v>
      </c>
      <c r="K165">
        <v>0</v>
      </c>
      <c r="L165">
        <v>0</v>
      </c>
      <c r="M165">
        <v>0.28346478873239789</v>
      </c>
      <c r="N165">
        <v>0.23294444444444595</v>
      </c>
      <c r="O165">
        <f>_xlfn.XLOOKUP(S165, AnglePowerMatching!$H:$H, AnglePowerMatching!$C:$C, "NaN")</f>
        <v>26</v>
      </c>
      <c r="P165">
        <f>_xlfn.XLOOKUP(S165, AnglePowerMatching!$H:$H, AnglePowerMatching!$D:$D, "NaN")</f>
        <v>10</v>
      </c>
      <c r="Q165" t="b">
        <f t="shared" si="5"/>
        <v>1</v>
      </c>
      <c r="R165">
        <f>VALUE(_xlfn.TEXTBEFORE(A165, {"L","R"}, , , , A165))</f>
        <v>949</v>
      </c>
      <c r="S165" t="str">
        <f t="shared" si="4"/>
        <v>94920260115</v>
      </c>
    </row>
    <row r="166" spans="1:19" x14ac:dyDescent="0.3">
      <c r="A166" t="s">
        <v>2</v>
      </c>
      <c r="B166" t="s">
        <v>56</v>
      </c>
      <c r="C166">
        <v>87.142857142857139</v>
      </c>
      <c r="D166">
        <v>83.582089552238799</v>
      </c>
      <c r="E166">
        <v>50</v>
      </c>
      <c r="F166">
        <v>53</v>
      </c>
      <c r="G166">
        <v>61</v>
      </c>
      <c r="H166">
        <v>56</v>
      </c>
      <c r="I166">
        <v>120</v>
      </c>
      <c r="J166">
        <v>120</v>
      </c>
      <c r="K166">
        <v>41.666666666666671</v>
      </c>
      <c r="L166">
        <v>44.166666666666664</v>
      </c>
      <c r="M166">
        <v>0.58580327868852755</v>
      </c>
      <c r="N166">
        <v>0.59100000000000297</v>
      </c>
      <c r="O166">
        <f>_xlfn.XLOOKUP(S166, AnglePowerMatching!$H:$H, AnglePowerMatching!$C:$C, "NaN")</f>
        <v>66</v>
      </c>
      <c r="P166">
        <f>_xlfn.XLOOKUP(S166, AnglePowerMatching!$H:$H, AnglePowerMatching!$D:$D, "NaN")</f>
        <v>5</v>
      </c>
      <c r="Q166" t="b">
        <f t="shared" si="5"/>
        <v>1</v>
      </c>
      <c r="R166">
        <f>VALUE(_xlfn.TEXTBEFORE(A166, {"L","R"}, , , , A166))</f>
        <v>949</v>
      </c>
      <c r="S166" t="str">
        <f t="shared" si="4"/>
        <v>94920260123</v>
      </c>
    </row>
    <row r="167" spans="1:19" x14ac:dyDescent="0.3">
      <c r="A167" t="s">
        <v>38</v>
      </c>
      <c r="B167" t="s">
        <v>119</v>
      </c>
      <c r="C167">
        <v>80.645161290322577</v>
      </c>
      <c r="D167">
        <v>86.666666666666671</v>
      </c>
      <c r="E167">
        <v>61</v>
      </c>
      <c r="F167">
        <v>63</v>
      </c>
      <c r="G167">
        <v>50</v>
      </c>
      <c r="H167">
        <v>52</v>
      </c>
      <c r="I167">
        <v>123</v>
      </c>
      <c r="J167">
        <v>123</v>
      </c>
      <c r="K167">
        <v>49.59349593495935</v>
      </c>
      <c r="L167">
        <v>51.219512195121951</v>
      </c>
      <c r="M167">
        <v>0.62089999999999579</v>
      </c>
      <c r="N167">
        <v>0.59917307692308741</v>
      </c>
      <c r="O167">
        <f>_xlfn.XLOOKUP(S167, AnglePowerMatching!$H:$H, AnglePowerMatching!$C:$C, "NaN")</f>
        <v>16</v>
      </c>
      <c r="P167">
        <f>_xlfn.XLOOKUP(S167, AnglePowerMatching!$H:$H, AnglePowerMatching!$D:$D, "NaN")</f>
        <v>5</v>
      </c>
      <c r="Q167" t="b">
        <f t="shared" si="5"/>
        <v>1</v>
      </c>
      <c r="R167">
        <f>VALUE(_xlfn.TEXTBEFORE(A167, {"L","R"}, , , , A167))</f>
        <v>950</v>
      </c>
      <c r="S167" t="str">
        <f t="shared" si="4"/>
        <v>95020250921</v>
      </c>
    </row>
    <row r="168" spans="1:19" x14ac:dyDescent="0.3">
      <c r="A168" t="s">
        <v>38</v>
      </c>
      <c r="B168" t="s">
        <v>120</v>
      </c>
      <c r="C168">
        <v>75</v>
      </c>
      <c r="D168">
        <v>77.89473684210526</v>
      </c>
      <c r="E168">
        <v>24</v>
      </c>
      <c r="F168">
        <v>25</v>
      </c>
      <c r="G168">
        <v>72</v>
      </c>
      <c r="H168">
        <v>74</v>
      </c>
      <c r="I168">
        <v>120</v>
      </c>
      <c r="J168">
        <v>120</v>
      </c>
      <c r="K168">
        <v>20</v>
      </c>
      <c r="L168">
        <v>20.833333333333336</v>
      </c>
      <c r="M168">
        <v>0.45924999999999727</v>
      </c>
      <c r="N168">
        <v>0.43716216216217657</v>
      </c>
      <c r="O168">
        <f>_xlfn.XLOOKUP(S168, AnglePowerMatching!$H:$H, AnglePowerMatching!$C:$C, "NaN")</f>
        <v>16</v>
      </c>
      <c r="P168">
        <f>_xlfn.XLOOKUP(S168, AnglePowerMatching!$H:$H, AnglePowerMatching!$D:$D, "NaN")</f>
        <v>10</v>
      </c>
      <c r="Q168" t="b">
        <f t="shared" si="5"/>
        <v>1</v>
      </c>
      <c r="R168">
        <f>VALUE(_xlfn.TEXTBEFORE(A168, {"L","R"}, , , , A168))</f>
        <v>950</v>
      </c>
      <c r="S168" t="str">
        <f t="shared" si="4"/>
        <v>95020250923</v>
      </c>
    </row>
    <row r="169" spans="1:19" x14ac:dyDescent="0.3">
      <c r="A169" t="s">
        <v>38</v>
      </c>
      <c r="B169" t="s">
        <v>124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100</v>
      </c>
      <c r="N169">
        <v>15.458</v>
      </c>
      <c r="O169">
        <f>_xlfn.XLOOKUP(S169, AnglePowerMatching!$H:$H, AnglePowerMatching!$C:$C, "NaN")</f>
        <v>66</v>
      </c>
      <c r="P169" t="str">
        <f>_xlfn.XLOOKUP(S169, AnglePowerMatching!$H:$H, AnglePowerMatching!$D:$D, "NaN")</f>
        <v>10 masker</v>
      </c>
      <c r="Q169" t="b">
        <f t="shared" si="5"/>
        <v>0</v>
      </c>
      <c r="R169">
        <f>VALUE(_xlfn.TEXTBEFORE(A169, {"L","R"}, , , , A169))</f>
        <v>950</v>
      </c>
      <c r="S169" t="str">
        <f t="shared" si="4"/>
        <v>95020251012</v>
      </c>
    </row>
    <row r="170" spans="1:19" x14ac:dyDescent="0.3">
      <c r="A170" t="s">
        <v>38</v>
      </c>
      <c r="B170" t="s">
        <v>124</v>
      </c>
      <c r="C170">
        <v>94.495412844036693</v>
      </c>
      <c r="D170">
        <v>90</v>
      </c>
      <c r="E170">
        <v>11</v>
      </c>
      <c r="F170">
        <v>10</v>
      </c>
      <c r="G170">
        <v>103</v>
      </c>
      <c r="H170">
        <v>99</v>
      </c>
      <c r="I170">
        <v>120</v>
      </c>
      <c r="J170">
        <v>120</v>
      </c>
      <c r="K170">
        <v>9.1666666666666661</v>
      </c>
      <c r="L170">
        <v>8.3333333333333321</v>
      </c>
      <c r="M170">
        <v>0.48242718446600713</v>
      </c>
      <c r="N170">
        <v>0.48735353535352832</v>
      </c>
      <c r="O170">
        <f>_xlfn.XLOOKUP(S170, AnglePowerMatching!$H:$H, AnglePowerMatching!$C:$C, "NaN")</f>
        <v>66</v>
      </c>
      <c r="P170" t="str">
        <f>_xlfn.XLOOKUP(S170, AnglePowerMatching!$H:$H, AnglePowerMatching!$D:$D, "NaN")</f>
        <v>10 masker</v>
      </c>
      <c r="Q170" t="b">
        <f t="shared" si="5"/>
        <v>1</v>
      </c>
      <c r="R170">
        <f>VALUE(_xlfn.TEXTBEFORE(A170, {"L","R"}, , , , A170))</f>
        <v>950</v>
      </c>
      <c r="S170" t="str">
        <f t="shared" si="4"/>
        <v>95020251012</v>
      </c>
    </row>
    <row r="171" spans="1:19" x14ac:dyDescent="0.3">
      <c r="A171" t="s">
        <v>38</v>
      </c>
      <c r="B171" t="s">
        <v>124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O171">
        <f>_xlfn.XLOOKUP(S171, AnglePowerMatching!$H:$H, AnglePowerMatching!$C:$C, "NaN")</f>
        <v>66</v>
      </c>
      <c r="P171" t="str">
        <f>_xlfn.XLOOKUP(S171, AnglePowerMatching!$H:$H, AnglePowerMatching!$D:$D, "NaN")</f>
        <v>10 masker</v>
      </c>
      <c r="Q171" t="b">
        <f t="shared" si="5"/>
        <v>0</v>
      </c>
      <c r="R171">
        <f>VALUE(_xlfn.TEXTBEFORE(A171, {"L","R"}, , , , A171))</f>
        <v>950</v>
      </c>
      <c r="S171" t="str">
        <f t="shared" si="4"/>
        <v>95020251012</v>
      </c>
    </row>
    <row r="172" spans="1:19" x14ac:dyDescent="0.3">
      <c r="A172" t="s">
        <v>38</v>
      </c>
      <c r="B172" t="s">
        <v>76</v>
      </c>
      <c r="C172">
        <v>72.222222222222214</v>
      </c>
      <c r="D172">
        <v>55.454545454545453</v>
      </c>
      <c r="E172">
        <v>12</v>
      </c>
      <c r="F172">
        <v>10</v>
      </c>
      <c r="G172">
        <v>78</v>
      </c>
      <c r="H172">
        <v>61</v>
      </c>
      <c r="I172">
        <v>120</v>
      </c>
      <c r="J172">
        <v>120</v>
      </c>
      <c r="K172">
        <v>10</v>
      </c>
      <c r="L172">
        <v>8.3333333333333321</v>
      </c>
      <c r="M172">
        <v>0.38339743589743142</v>
      </c>
      <c r="N172">
        <v>0.3383934426229665</v>
      </c>
      <c r="O172">
        <f>_xlfn.XLOOKUP(S172, AnglePowerMatching!$H:$H, AnglePowerMatching!$C:$C, "NaN")</f>
        <v>66</v>
      </c>
      <c r="P172" t="str">
        <f>_xlfn.XLOOKUP(S172, AnglePowerMatching!$H:$H, AnglePowerMatching!$D:$D, "NaN")</f>
        <v>3 masker</v>
      </c>
      <c r="Q172" t="b">
        <f t="shared" si="5"/>
        <v>1</v>
      </c>
      <c r="R172">
        <f>VALUE(_xlfn.TEXTBEFORE(A172, {"L","R"}, , , , A172))</f>
        <v>950</v>
      </c>
      <c r="S172" t="str">
        <f t="shared" si="4"/>
        <v>95020251022</v>
      </c>
    </row>
    <row r="173" spans="1:19" x14ac:dyDescent="0.3">
      <c r="A173" t="s">
        <v>38</v>
      </c>
      <c r="B173" t="s">
        <v>64</v>
      </c>
      <c r="C173">
        <v>74.074074074074076</v>
      </c>
      <c r="D173">
        <v>83.516483516483518</v>
      </c>
      <c r="E173">
        <v>39</v>
      </c>
      <c r="F173">
        <v>29</v>
      </c>
      <c r="G173">
        <v>60</v>
      </c>
      <c r="H173">
        <v>76</v>
      </c>
      <c r="I173">
        <v>120</v>
      </c>
      <c r="J173">
        <v>120</v>
      </c>
      <c r="K173">
        <v>32.5</v>
      </c>
      <c r="L173">
        <v>24.166666666666668</v>
      </c>
      <c r="M173">
        <v>0.51518333333333066</v>
      </c>
      <c r="N173">
        <v>0.56534210526315465</v>
      </c>
      <c r="O173">
        <f>_xlfn.XLOOKUP(S173, AnglePowerMatching!$H:$H, AnglePowerMatching!$C:$C, "NaN")</f>
        <v>66</v>
      </c>
      <c r="P173" t="str">
        <f>_xlfn.XLOOKUP(S173, AnglePowerMatching!$H:$H, AnglePowerMatching!$D:$D, "NaN")</f>
        <v>5 masker</v>
      </c>
      <c r="Q173" t="b">
        <f t="shared" si="5"/>
        <v>1</v>
      </c>
      <c r="R173">
        <f>VALUE(_xlfn.TEXTBEFORE(A173, {"L","R"}, , , , A173))</f>
        <v>950</v>
      </c>
      <c r="S173" t="str">
        <f t="shared" si="4"/>
        <v>95020251025</v>
      </c>
    </row>
    <row r="174" spans="1:19" x14ac:dyDescent="0.3">
      <c r="A174" t="s">
        <v>38</v>
      </c>
      <c r="B174" t="s">
        <v>67</v>
      </c>
      <c r="C174">
        <v>75.65217391304347</v>
      </c>
      <c r="D174">
        <v>81.578947368421055</v>
      </c>
      <c r="E174">
        <v>5</v>
      </c>
      <c r="F174">
        <v>6</v>
      </c>
      <c r="G174">
        <v>87</v>
      </c>
      <c r="H174">
        <v>93</v>
      </c>
      <c r="I174">
        <v>120</v>
      </c>
      <c r="J174">
        <v>120</v>
      </c>
      <c r="K174">
        <v>4.1666666666666661</v>
      </c>
      <c r="L174">
        <v>5</v>
      </c>
      <c r="M174">
        <v>0.43387356321839798</v>
      </c>
      <c r="N174">
        <v>0.41483870967742609</v>
      </c>
      <c r="O174">
        <f>_xlfn.XLOOKUP(S174, AnglePowerMatching!$H:$H, AnglePowerMatching!$C:$C, "NaN")</f>
        <v>66</v>
      </c>
      <c r="P174" t="str">
        <f>_xlfn.XLOOKUP(S174, AnglePowerMatching!$H:$H, AnglePowerMatching!$D:$D, "NaN")</f>
        <v>10 masker</v>
      </c>
      <c r="Q174" t="b">
        <f t="shared" si="5"/>
        <v>1</v>
      </c>
      <c r="R174">
        <f>VALUE(_xlfn.TEXTBEFORE(A174, {"L","R"}, , , , A174))</f>
        <v>950</v>
      </c>
      <c r="S174" t="str">
        <f t="shared" si="4"/>
        <v>95020251028</v>
      </c>
    </row>
    <row r="175" spans="1:19" x14ac:dyDescent="0.3">
      <c r="A175" t="s">
        <v>38</v>
      </c>
      <c r="B175" t="s">
        <v>70</v>
      </c>
      <c r="C175">
        <v>71.818181818181813</v>
      </c>
      <c r="D175">
        <v>72.222222222222214</v>
      </c>
      <c r="E175">
        <v>10</v>
      </c>
      <c r="F175">
        <v>12</v>
      </c>
      <c r="G175">
        <v>79</v>
      </c>
      <c r="H175">
        <v>78</v>
      </c>
      <c r="I175">
        <v>120</v>
      </c>
      <c r="J175">
        <v>120</v>
      </c>
      <c r="K175">
        <v>8.3333333333333321</v>
      </c>
      <c r="L175">
        <v>10</v>
      </c>
      <c r="M175">
        <v>0.5842151898734137</v>
      </c>
      <c r="N175">
        <v>0.56216666666666781</v>
      </c>
      <c r="O175">
        <f>_xlfn.XLOOKUP(S175, AnglePowerMatching!$H:$H, AnglePowerMatching!$C:$C, "NaN")</f>
        <v>35</v>
      </c>
      <c r="P175" t="str">
        <f>_xlfn.XLOOKUP(S175, AnglePowerMatching!$H:$H, AnglePowerMatching!$D:$D, "NaN")</f>
        <v>3 masker</v>
      </c>
      <c r="Q175" t="b">
        <f t="shared" si="5"/>
        <v>1</v>
      </c>
      <c r="R175">
        <f>VALUE(_xlfn.TEXTBEFORE(A175, {"L","R"}, , , , A175))</f>
        <v>950</v>
      </c>
      <c r="S175" t="str">
        <f t="shared" si="4"/>
        <v>95020251105</v>
      </c>
    </row>
    <row r="176" spans="1:19" x14ac:dyDescent="0.3">
      <c r="A176" t="s">
        <v>38</v>
      </c>
      <c r="B176" t="s">
        <v>83</v>
      </c>
      <c r="C176">
        <v>57.758620689655174</v>
      </c>
      <c r="D176">
        <v>59.663865546218489</v>
      </c>
      <c r="E176">
        <v>4</v>
      </c>
      <c r="F176">
        <v>1</v>
      </c>
      <c r="G176">
        <v>67</v>
      </c>
      <c r="H176">
        <v>71</v>
      </c>
      <c r="I176">
        <v>120</v>
      </c>
      <c r="J176">
        <v>120</v>
      </c>
      <c r="K176">
        <v>3.3333333333333335</v>
      </c>
      <c r="L176">
        <v>0.83333333333333337</v>
      </c>
      <c r="M176">
        <v>0.38565671641791932</v>
      </c>
      <c r="N176">
        <v>0.38864788732394373</v>
      </c>
      <c r="O176">
        <f>_xlfn.XLOOKUP(S176, AnglePowerMatching!$H:$H, AnglePowerMatching!$C:$C, "NaN")</f>
        <v>35</v>
      </c>
      <c r="P176" t="str">
        <f>_xlfn.XLOOKUP(S176, AnglePowerMatching!$H:$H, AnglePowerMatching!$D:$D, "NaN")</f>
        <v>5 masker</v>
      </c>
      <c r="Q176" t="b">
        <f t="shared" si="5"/>
        <v>1</v>
      </c>
      <c r="R176">
        <f>VALUE(_xlfn.TEXTBEFORE(A176, {"L","R"}, , , , A176))</f>
        <v>950</v>
      </c>
      <c r="S176" t="str">
        <f t="shared" si="4"/>
        <v>95020251107</v>
      </c>
    </row>
    <row r="177" spans="1:19" x14ac:dyDescent="0.3">
      <c r="A177" t="s">
        <v>38</v>
      </c>
      <c r="B177" t="s">
        <v>125</v>
      </c>
      <c r="C177">
        <v>59.615384615384613</v>
      </c>
      <c r="D177">
        <v>54.205607476635507</v>
      </c>
      <c r="E177">
        <v>16</v>
      </c>
      <c r="F177">
        <v>13</v>
      </c>
      <c r="G177">
        <v>62</v>
      </c>
      <c r="H177">
        <v>58</v>
      </c>
      <c r="I177">
        <v>120</v>
      </c>
      <c r="J177">
        <v>120</v>
      </c>
      <c r="K177">
        <v>13.333333333333334</v>
      </c>
      <c r="L177">
        <v>10.833333333333334</v>
      </c>
      <c r="M177">
        <v>0.36514516129032304</v>
      </c>
      <c r="N177">
        <v>0.33631034482758843</v>
      </c>
      <c r="O177">
        <f>_xlfn.XLOOKUP(S177, AnglePowerMatching!$H:$H, AnglePowerMatching!$C:$C, "NaN")</f>
        <v>35</v>
      </c>
      <c r="P177" t="str">
        <f>_xlfn.XLOOKUP(S177, AnglePowerMatching!$H:$H, AnglePowerMatching!$D:$D, "NaN")</f>
        <v>10 masker</v>
      </c>
      <c r="Q177" t="b">
        <f t="shared" si="5"/>
        <v>1</v>
      </c>
      <c r="R177">
        <f>VALUE(_xlfn.TEXTBEFORE(A177, {"L","R"}, , , , A177))</f>
        <v>950</v>
      </c>
      <c r="S177" t="str">
        <f t="shared" si="4"/>
        <v>95020251110</v>
      </c>
    </row>
    <row r="178" spans="1:19" x14ac:dyDescent="0.3">
      <c r="A178" t="s">
        <v>38</v>
      </c>
      <c r="B178" t="s">
        <v>121</v>
      </c>
      <c r="C178">
        <v>47.899159663865547</v>
      </c>
      <c r="D178">
        <v>52.100840336134461</v>
      </c>
      <c r="E178">
        <v>1</v>
      </c>
      <c r="F178">
        <v>1</v>
      </c>
      <c r="G178">
        <v>57</v>
      </c>
      <c r="H178">
        <v>62</v>
      </c>
      <c r="I178">
        <v>120</v>
      </c>
      <c r="J178">
        <v>120</v>
      </c>
      <c r="K178">
        <v>0.83333333333333337</v>
      </c>
      <c r="L178">
        <v>0.83333333333333337</v>
      </c>
      <c r="M178">
        <v>0.26680701754385894</v>
      </c>
      <c r="N178">
        <v>0.26437096774193197</v>
      </c>
      <c r="O178">
        <f>_xlfn.XLOOKUP(S178, AnglePowerMatching!$H:$H, AnglePowerMatching!$C:$C, "NaN")</f>
        <v>16</v>
      </c>
      <c r="P178" t="str">
        <f>_xlfn.XLOOKUP(S178, AnglePowerMatching!$H:$H, AnglePowerMatching!$D:$D, "NaN")</f>
        <v>5 masker</v>
      </c>
      <c r="Q178" t="b">
        <f t="shared" si="5"/>
        <v>1</v>
      </c>
      <c r="R178">
        <f>VALUE(_xlfn.TEXTBEFORE(A178, {"L","R"}, , , , A178))</f>
        <v>950</v>
      </c>
      <c r="S178" t="str">
        <f t="shared" si="4"/>
        <v>95020251121</v>
      </c>
    </row>
    <row r="179" spans="1:19" x14ac:dyDescent="0.3">
      <c r="A179" t="s">
        <v>38</v>
      </c>
      <c r="B179" t="s">
        <v>123</v>
      </c>
      <c r="C179">
        <v>47.5</v>
      </c>
      <c r="D179">
        <v>52.5</v>
      </c>
      <c r="E179">
        <v>0</v>
      </c>
      <c r="F179">
        <v>0</v>
      </c>
      <c r="G179">
        <v>57</v>
      </c>
      <c r="H179">
        <v>63</v>
      </c>
      <c r="I179">
        <v>120</v>
      </c>
      <c r="J179">
        <v>120</v>
      </c>
      <c r="K179">
        <v>0</v>
      </c>
      <c r="L179">
        <v>0</v>
      </c>
      <c r="M179">
        <v>0.16252631578946669</v>
      </c>
      <c r="N179">
        <v>0.14961904761904152</v>
      </c>
      <c r="O179">
        <f>_xlfn.XLOOKUP(S179, AnglePowerMatching!$H:$H, AnglePowerMatching!$C:$C, "NaN")</f>
        <v>16</v>
      </c>
      <c r="P179" t="str">
        <f>_xlfn.XLOOKUP(S179, AnglePowerMatching!$H:$H, AnglePowerMatching!$D:$D, "NaN")</f>
        <v>10 masker</v>
      </c>
      <c r="Q179" t="b">
        <f t="shared" si="5"/>
        <v>1</v>
      </c>
      <c r="R179">
        <f>VALUE(_xlfn.TEXTBEFORE(A179, {"L","R"}, , , , A179))</f>
        <v>950</v>
      </c>
      <c r="S179" t="str">
        <f t="shared" si="4"/>
        <v>95020251204</v>
      </c>
    </row>
    <row r="180" spans="1:19" x14ac:dyDescent="0.3">
      <c r="A180" t="s">
        <v>38</v>
      </c>
      <c r="B180" t="s">
        <v>45</v>
      </c>
      <c r="C180">
        <v>63.636363636363633</v>
      </c>
      <c r="D180">
        <v>53.719008264462808</v>
      </c>
      <c r="E180">
        <v>0</v>
      </c>
      <c r="F180">
        <v>0</v>
      </c>
      <c r="G180">
        <v>77</v>
      </c>
      <c r="H180">
        <v>65</v>
      </c>
      <c r="I180">
        <v>121</v>
      </c>
      <c r="J180">
        <v>121</v>
      </c>
      <c r="K180">
        <v>0</v>
      </c>
      <c r="L180">
        <v>0</v>
      </c>
      <c r="M180">
        <v>0.24016883116881615</v>
      </c>
      <c r="N180">
        <v>0.24736923076921016</v>
      </c>
      <c r="O180">
        <f>_xlfn.XLOOKUP(S180, AnglePowerMatching!$H:$H, AnglePowerMatching!$C:$C, "NaN")</f>
        <v>66</v>
      </c>
      <c r="P180">
        <f>_xlfn.XLOOKUP(S180, AnglePowerMatching!$H:$H, AnglePowerMatching!$D:$D, "NaN")</f>
        <v>3</v>
      </c>
      <c r="Q180" t="b">
        <f t="shared" si="5"/>
        <v>1</v>
      </c>
      <c r="R180">
        <f>VALUE(_xlfn.TEXTBEFORE(A180, {"L","R"}, , , , A180))</f>
        <v>950</v>
      </c>
      <c r="S180" t="str">
        <f t="shared" si="4"/>
        <v>95020251215</v>
      </c>
    </row>
    <row r="181" spans="1:19" x14ac:dyDescent="0.3">
      <c r="A181" t="s">
        <v>38</v>
      </c>
      <c r="B181" t="s">
        <v>46</v>
      </c>
      <c r="C181">
        <v>0</v>
      </c>
      <c r="E181">
        <v>119</v>
      </c>
      <c r="F181">
        <v>120</v>
      </c>
      <c r="G181">
        <v>0</v>
      </c>
      <c r="H181">
        <v>0</v>
      </c>
      <c r="I181">
        <v>120</v>
      </c>
      <c r="J181">
        <v>120</v>
      </c>
      <c r="K181">
        <v>99.166666666666671</v>
      </c>
      <c r="L181">
        <v>100</v>
      </c>
      <c r="O181" t="str">
        <f>_xlfn.XLOOKUP(S181, AnglePowerMatching!$H:$H, AnglePowerMatching!$C:$C, "NaN")</f>
        <v>NaN</v>
      </c>
      <c r="P181" t="str">
        <f>_xlfn.XLOOKUP(S181, AnglePowerMatching!$H:$H, AnglePowerMatching!$D:$D, "NaN")</f>
        <v>NaN</v>
      </c>
      <c r="Q181" t="b">
        <f t="shared" si="5"/>
        <v>0</v>
      </c>
      <c r="R181">
        <f>VALUE(_xlfn.TEXTBEFORE(A181, {"L","R"}, , , , A181))</f>
        <v>950</v>
      </c>
      <c r="S181" t="str">
        <f t="shared" si="4"/>
        <v>95020251216</v>
      </c>
    </row>
    <row r="182" spans="1:19" x14ac:dyDescent="0.3">
      <c r="A182" t="s">
        <v>38</v>
      </c>
      <c r="B182" t="s">
        <v>47</v>
      </c>
      <c r="C182">
        <v>61.157024793388423</v>
      </c>
      <c r="D182">
        <v>64.754098360655746</v>
      </c>
      <c r="E182">
        <v>0</v>
      </c>
      <c r="F182">
        <v>0</v>
      </c>
      <c r="G182">
        <v>74</v>
      </c>
      <c r="H182">
        <v>79</v>
      </c>
      <c r="I182">
        <v>121</v>
      </c>
      <c r="J182">
        <v>122</v>
      </c>
      <c r="K182">
        <v>0</v>
      </c>
      <c r="L182">
        <v>0</v>
      </c>
      <c r="M182">
        <v>0.25068918918919936</v>
      </c>
      <c r="N182">
        <v>0.24381012658229201</v>
      </c>
      <c r="O182">
        <f>_xlfn.XLOOKUP(S182, AnglePowerMatching!$H:$H, AnglePowerMatching!$C:$C, "NaN")</f>
        <v>66</v>
      </c>
      <c r="P182">
        <f>_xlfn.XLOOKUP(S182, AnglePowerMatching!$H:$H, AnglePowerMatching!$D:$D, "NaN")</f>
        <v>3</v>
      </c>
      <c r="Q182" t="b">
        <f t="shared" si="5"/>
        <v>1</v>
      </c>
      <c r="R182">
        <f>VALUE(_xlfn.TEXTBEFORE(A182, {"L","R"}, , , , A182))</f>
        <v>950</v>
      </c>
      <c r="S182" t="str">
        <f t="shared" si="4"/>
        <v>95020251217</v>
      </c>
    </row>
    <row r="183" spans="1:19" x14ac:dyDescent="0.3">
      <c r="A183" t="s">
        <v>38</v>
      </c>
      <c r="B183" t="s">
        <v>48</v>
      </c>
      <c r="C183">
        <v>48.760330578512395</v>
      </c>
      <c r="D183">
        <v>47.457627118644069</v>
      </c>
      <c r="E183">
        <v>0</v>
      </c>
      <c r="F183">
        <v>2</v>
      </c>
      <c r="G183">
        <v>59</v>
      </c>
      <c r="H183">
        <v>56</v>
      </c>
      <c r="I183">
        <v>121</v>
      </c>
      <c r="J183">
        <v>120</v>
      </c>
      <c r="K183">
        <v>0</v>
      </c>
      <c r="L183">
        <v>1.6666666666666667</v>
      </c>
      <c r="M183">
        <v>0.19337288135594852</v>
      </c>
      <c r="N183">
        <v>0.17480357142857367</v>
      </c>
      <c r="O183">
        <f>_xlfn.XLOOKUP(S183, AnglePowerMatching!$H:$H, AnglePowerMatching!$C:$C, "NaN")</f>
        <v>66</v>
      </c>
      <c r="P183" t="str">
        <f>_xlfn.XLOOKUP(S183, AnglePowerMatching!$H:$H, AnglePowerMatching!$D:$D, "NaN")</f>
        <v>5 masker</v>
      </c>
      <c r="Q183" t="b">
        <f t="shared" si="5"/>
        <v>1</v>
      </c>
      <c r="R183">
        <f>VALUE(_xlfn.TEXTBEFORE(A183, {"L","R"}, , , , A183))</f>
        <v>950</v>
      </c>
      <c r="S183" t="str">
        <f t="shared" si="4"/>
        <v>95020251218</v>
      </c>
    </row>
    <row r="184" spans="1:19" x14ac:dyDescent="0.3">
      <c r="A184" t="s">
        <v>38</v>
      </c>
      <c r="B184" t="s">
        <v>49</v>
      </c>
      <c r="C184">
        <v>71.666666666666671</v>
      </c>
      <c r="D184">
        <v>81.666666666666671</v>
      </c>
      <c r="E184">
        <v>0</v>
      </c>
      <c r="F184">
        <v>0</v>
      </c>
      <c r="G184">
        <v>86</v>
      </c>
      <c r="H184">
        <v>98</v>
      </c>
      <c r="I184">
        <v>120</v>
      </c>
      <c r="J184">
        <v>120</v>
      </c>
      <c r="K184">
        <v>0</v>
      </c>
      <c r="L184">
        <v>0</v>
      </c>
      <c r="M184">
        <v>0.33126744186046841</v>
      </c>
      <c r="N184">
        <v>0.33949999999999886</v>
      </c>
      <c r="O184">
        <f>_xlfn.XLOOKUP(S184, AnglePowerMatching!$H:$H, AnglePowerMatching!$C:$C, "NaN")</f>
        <v>90</v>
      </c>
      <c r="P184">
        <f>_xlfn.XLOOKUP(S184, AnglePowerMatching!$H:$H, AnglePowerMatching!$D:$D, "NaN")</f>
        <v>5</v>
      </c>
      <c r="Q184" t="b">
        <f t="shared" si="5"/>
        <v>1</v>
      </c>
      <c r="R184">
        <f>VALUE(_xlfn.TEXTBEFORE(A184, {"L","R"}, , , , A184))</f>
        <v>950</v>
      </c>
      <c r="S184" t="str">
        <f t="shared" si="4"/>
        <v>95020251230</v>
      </c>
    </row>
    <row r="185" spans="1:19" x14ac:dyDescent="0.3">
      <c r="A185" t="s">
        <v>38</v>
      </c>
      <c r="B185" t="s">
        <v>50</v>
      </c>
      <c r="C185">
        <v>71.05263157894737</v>
      </c>
      <c r="D185">
        <v>74.107142857142861</v>
      </c>
      <c r="E185">
        <v>6</v>
      </c>
      <c r="F185">
        <v>8</v>
      </c>
      <c r="G185">
        <v>81</v>
      </c>
      <c r="H185">
        <v>83</v>
      </c>
      <c r="I185">
        <v>120</v>
      </c>
      <c r="J185">
        <v>120</v>
      </c>
      <c r="K185">
        <v>5</v>
      </c>
      <c r="L185">
        <v>6.666666666666667</v>
      </c>
      <c r="M185">
        <v>0.38628395061727011</v>
      </c>
      <c r="N185">
        <v>0.38574698795180229</v>
      </c>
      <c r="O185">
        <f>_xlfn.XLOOKUP(S185, AnglePowerMatching!$H:$H, AnglePowerMatching!$C:$C, "NaN")</f>
        <v>90</v>
      </c>
      <c r="P185">
        <f>_xlfn.XLOOKUP(S185, AnglePowerMatching!$H:$H, AnglePowerMatching!$D:$D, "NaN")</f>
        <v>10</v>
      </c>
      <c r="Q185" t="b">
        <f t="shared" si="5"/>
        <v>1</v>
      </c>
      <c r="R185">
        <f>VALUE(_xlfn.TEXTBEFORE(A185, {"L","R"}, , , , A185))</f>
        <v>950</v>
      </c>
      <c r="S185" t="str">
        <f t="shared" si="4"/>
        <v>95020251231</v>
      </c>
    </row>
    <row r="186" spans="1:19" x14ac:dyDescent="0.3">
      <c r="A186" t="s">
        <v>38</v>
      </c>
      <c r="B186" t="s">
        <v>126</v>
      </c>
      <c r="C186">
        <v>81.666666666666671</v>
      </c>
      <c r="D186">
        <v>75.833333333333329</v>
      </c>
      <c r="E186">
        <v>0</v>
      </c>
      <c r="F186">
        <v>0</v>
      </c>
      <c r="G186">
        <v>98</v>
      </c>
      <c r="H186">
        <v>91</v>
      </c>
      <c r="I186">
        <v>120</v>
      </c>
      <c r="J186">
        <v>120</v>
      </c>
      <c r="K186">
        <v>0</v>
      </c>
      <c r="L186">
        <v>0</v>
      </c>
      <c r="M186">
        <v>0.39845918367347338</v>
      </c>
      <c r="N186">
        <v>0.42502197802198038</v>
      </c>
      <c r="O186">
        <f>_xlfn.XLOOKUP(S186, AnglePowerMatching!$H:$H, AnglePowerMatching!$C:$C, "NaN")</f>
        <v>66</v>
      </c>
      <c r="P186" t="str">
        <f>_xlfn.XLOOKUP(S186, AnglePowerMatching!$H:$H, AnglePowerMatching!$D:$D, "NaN")</f>
        <v>3 masker</v>
      </c>
      <c r="Q186" t="b">
        <f t="shared" si="5"/>
        <v>1</v>
      </c>
      <c r="R186">
        <f>VALUE(_xlfn.TEXTBEFORE(A186, {"L","R"}, , , , A186))</f>
        <v>950</v>
      </c>
      <c r="S186" t="str">
        <f t="shared" si="4"/>
        <v>95020260112</v>
      </c>
    </row>
    <row r="187" spans="1:19" x14ac:dyDescent="0.3">
      <c r="A187" t="s">
        <v>38</v>
      </c>
      <c r="B187" t="s">
        <v>85</v>
      </c>
      <c r="C187">
        <v>75.221238938053091</v>
      </c>
      <c r="D187">
        <v>75</v>
      </c>
      <c r="E187">
        <v>7</v>
      </c>
      <c r="F187">
        <v>12</v>
      </c>
      <c r="G187">
        <v>85</v>
      </c>
      <c r="H187">
        <v>81</v>
      </c>
      <c r="I187">
        <v>120</v>
      </c>
      <c r="J187">
        <v>120</v>
      </c>
      <c r="K187">
        <v>5.833333333333333</v>
      </c>
      <c r="L187">
        <v>10</v>
      </c>
      <c r="M187">
        <v>0.62465882352940483</v>
      </c>
      <c r="N187">
        <v>0.5801728395061635</v>
      </c>
      <c r="O187">
        <f>_xlfn.XLOOKUP(S187, AnglePowerMatching!$H:$H, AnglePowerMatching!$C:$C, "NaN")</f>
        <v>66</v>
      </c>
      <c r="P187" t="str">
        <f>_xlfn.XLOOKUP(S187, AnglePowerMatching!$H:$H, AnglePowerMatching!$D:$D, "NaN")</f>
        <v>5 masker</v>
      </c>
      <c r="Q187" t="b">
        <f t="shared" si="5"/>
        <v>1</v>
      </c>
      <c r="R187">
        <f>VALUE(_xlfn.TEXTBEFORE(A187, {"L","R"}, , , , A187))</f>
        <v>950</v>
      </c>
      <c r="S187" t="str">
        <f t="shared" si="4"/>
        <v>95020260113</v>
      </c>
    </row>
    <row r="188" spans="1:19" x14ac:dyDescent="0.3">
      <c r="A188" t="s">
        <v>38</v>
      </c>
      <c r="B188" t="s">
        <v>86</v>
      </c>
      <c r="C188">
        <v>67.521367521367523</v>
      </c>
      <c r="D188">
        <v>70.085470085470078</v>
      </c>
      <c r="E188">
        <v>3</v>
      </c>
      <c r="F188">
        <v>3</v>
      </c>
      <c r="G188">
        <v>79</v>
      </c>
      <c r="H188">
        <v>82</v>
      </c>
      <c r="I188">
        <v>120</v>
      </c>
      <c r="J188">
        <v>120</v>
      </c>
      <c r="K188">
        <v>2.5</v>
      </c>
      <c r="L188">
        <v>2.5</v>
      </c>
      <c r="M188">
        <v>0.40256962025315618</v>
      </c>
      <c r="N188">
        <v>0.38843902439024597</v>
      </c>
      <c r="O188">
        <f>_xlfn.XLOOKUP(S188, AnglePowerMatching!$H:$H, AnglePowerMatching!$C:$C, "NaN")</f>
        <v>66</v>
      </c>
      <c r="P188" t="str">
        <f>_xlfn.XLOOKUP(S188, AnglePowerMatching!$H:$H, AnglePowerMatching!$D:$D, "NaN")</f>
        <v>10 masker</v>
      </c>
      <c r="Q188" t="b">
        <f t="shared" si="5"/>
        <v>1</v>
      </c>
      <c r="R188">
        <f>VALUE(_xlfn.TEXTBEFORE(A188, {"L","R"}, , , , A188))</f>
        <v>950</v>
      </c>
      <c r="S188" t="str">
        <f t="shared" si="4"/>
        <v>95020260114</v>
      </c>
    </row>
    <row r="189" spans="1:19" x14ac:dyDescent="0.3">
      <c r="A189" t="s">
        <v>31</v>
      </c>
      <c r="B189" t="s">
        <v>108</v>
      </c>
      <c r="C189">
        <v>93.103448275862064</v>
      </c>
      <c r="D189">
        <v>87.368421052631589</v>
      </c>
      <c r="E189">
        <v>37</v>
      </c>
      <c r="F189">
        <v>29</v>
      </c>
      <c r="G189">
        <v>81</v>
      </c>
      <c r="H189">
        <v>83</v>
      </c>
      <c r="I189">
        <v>124</v>
      </c>
      <c r="J189">
        <v>124</v>
      </c>
      <c r="K189">
        <v>29.838709677419356</v>
      </c>
      <c r="L189">
        <v>23.387096774193548</v>
      </c>
      <c r="M189">
        <v>0.63844444444444692</v>
      </c>
      <c r="N189">
        <v>0.5775060240963964</v>
      </c>
      <c r="O189">
        <f>_xlfn.XLOOKUP(S189, AnglePowerMatching!$H:$H, AnglePowerMatching!$C:$C, "NaN")</f>
        <v>66</v>
      </c>
      <c r="P189">
        <f>_xlfn.XLOOKUP(S189, AnglePowerMatching!$H:$H, AnglePowerMatching!$D:$D, "NaN")</f>
        <v>3</v>
      </c>
      <c r="Q189" t="b">
        <f t="shared" si="5"/>
        <v>1</v>
      </c>
      <c r="R189">
        <f>VALUE(_xlfn.TEXTBEFORE(A189, {"L","R"}, , , , A189))</f>
        <v>950</v>
      </c>
      <c r="S189" t="str">
        <f t="shared" si="4"/>
        <v>95020250813</v>
      </c>
    </row>
    <row r="190" spans="1:19" x14ac:dyDescent="0.3">
      <c r="A190" t="s">
        <v>31</v>
      </c>
      <c r="B190" t="s">
        <v>109</v>
      </c>
      <c r="C190">
        <v>85.714285714285708</v>
      </c>
      <c r="D190">
        <v>77.884615384615387</v>
      </c>
      <c r="E190">
        <v>16</v>
      </c>
      <c r="F190">
        <v>10</v>
      </c>
      <c r="G190">
        <v>84</v>
      </c>
      <c r="H190">
        <v>81</v>
      </c>
      <c r="I190">
        <v>114</v>
      </c>
      <c r="J190">
        <v>114</v>
      </c>
      <c r="K190">
        <v>14.035087719298245</v>
      </c>
      <c r="L190">
        <v>8.7719298245614024</v>
      </c>
      <c r="M190">
        <v>0.40202380952380928</v>
      </c>
      <c r="N190">
        <v>0.48335802469135608</v>
      </c>
      <c r="O190">
        <f>_xlfn.XLOOKUP(S190, AnglePowerMatching!$H:$H, AnglePowerMatching!$C:$C, "NaN")</f>
        <v>66</v>
      </c>
      <c r="P190">
        <f>_xlfn.XLOOKUP(S190, AnglePowerMatching!$H:$H, AnglePowerMatching!$D:$D, "NaN")</f>
        <v>5</v>
      </c>
      <c r="Q190" t="b">
        <f t="shared" si="5"/>
        <v>1</v>
      </c>
      <c r="R190">
        <f>VALUE(_xlfn.TEXTBEFORE(A190, {"L","R"}, , , , A190))</f>
        <v>950</v>
      </c>
      <c r="S190" t="str">
        <f t="shared" si="4"/>
        <v>95020250814</v>
      </c>
    </row>
    <row r="191" spans="1:19" x14ac:dyDescent="0.3">
      <c r="A191" t="s">
        <v>31</v>
      </c>
      <c r="B191" t="s">
        <v>110</v>
      </c>
      <c r="C191">
        <v>89.81481481481481</v>
      </c>
      <c r="D191">
        <v>89.908256880733944</v>
      </c>
      <c r="E191">
        <v>16</v>
      </c>
      <c r="F191">
        <v>15</v>
      </c>
      <c r="G191">
        <v>97</v>
      </c>
      <c r="H191">
        <v>98</v>
      </c>
      <c r="I191">
        <v>124</v>
      </c>
      <c r="J191">
        <v>124</v>
      </c>
      <c r="K191">
        <v>12.903225806451612</v>
      </c>
      <c r="L191">
        <v>12.096774193548388</v>
      </c>
      <c r="M191">
        <v>0.58158762886597892</v>
      </c>
      <c r="N191">
        <v>0.47005102040816943</v>
      </c>
      <c r="O191">
        <f>_xlfn.XLOOKUP(S191, AnglePowerMatching!$H:$H, AnglePowerMatching!$C:$C, "NaN")</f>
        <v>66</v>
      </c>
      <c r="P191">
        <f>_xlfn.XLOOKUP(S191, AnglePowerMatching!$H:$H, AnglePowerMatching!$D:$D, "NaN")</f>
        <v>10</v>
      </c>
      <c r="Q191" t="b">
        <f t="shared" si="5"/>
        <v>1</v>
      </c>
      <c r="R191">
        <f>VALUE(_xlfn.TEXTBEFORE(A191, {"L","R"}, , , , A191))</f>
        <v>950</v>
      </c>
      <c r="S191" t="str">
        <f t="shared" si="4"/>
        <v>95020250815</v>
      </c>
    </row>
    <row r="192" spans="1:19" x14ac:dyDescent="0.3">
      <c r="A192" t="s">
        <v>31</v>
      </c>
      <c r="B192" t="s">
        <v>111</v>
      </c>
      <c r="C192">
        <v>77.966101694915253</v>
      </c>
      <c r="D192">
        <v>81.818181818181827</v>
      </c>
      <c r="E192">
        <v>2</v>
      </c>
      <c r="F192">
        <v>10</v>
      </c>
      <c r="G192">
        <v>92</v>
      </c>
      <c r="H192">
        <v>90</v>
      </c>
      <c r="I192">
        <v>120</v>
      </c>
      <c r="J192">
        <v>120</v>
      </c>
      <c r="K192">
        <v>1.6666666666666667</v>
      </c>
      <c r="L192">
        <v>8.3333333333333321</v>
      </c>
      <c r="M192">
        <v>0.58092391304348301</v>
      </c>
      <c r="N192">
        <v>0.52676666666666139</v>
      </c>
      <c r="O192" t="str">
        <f>_xlfn.XLOOKUP(S192, AnglePowerMatching!$H:$H, AnglePowerMatching!$C:$C, "NaN")</f>
        <v>NaN</v>
      </c>
      <c r="P192" t="str">
        <f>_xlfn.XLOOKUP(S192, AnglePowerMatching!$H:$H, AnglePowerMatching!$D:$D, "NaN")</f>
        <v>NaN</v>
      </c>
      <c r="Q192" t="b">
        <f t="shared" si="5"/>
        <v>1</v>
      </c>
      <c r="R192">
        <f>VALUE(_xlfn.TEXTBEFORE(A192, {"L","R"}, , , , A192))</f>
        <v>950</v>
      </c>
      <c r="S192" t="str">
        <f t="shared" si="4"/>
        <v>95020250816</v>
      </c>
    </row>
    <row r="193" spans="1:19" x14ac:dyDescent="0.3">
      <c r="A193" t="s">
        <v>31</v>
      </c>
      <c r="B193" t="s">
        <v>112</v>
      </c>
      <c r="C193">
        <v>91.578947368421055</v>
      </c>
      <c r="D193">
        <v>87.878787878787875</v>
      </c>
      <c r="E193">
        <v>38</v>
      </c>
      <c r="F193">
        <v>35</v>
      </c>
      <c r="G193">
        <v>87</v>
      </c>
      <c r="H193">
        <v>87</v>
      </c>
      <c r="I193">
        <v>133</v>
      </c>
      <c r="J193">
        <v>134</v>
      </c>
      <c r="K193">
        <v>28.571428571428569</v>
      </c>
      <c r="L193">
        <v>26.119402985074625</v>
      </c>
      <c r="M193">
        <v>0.59740229885056517</v>
      </c>
      <c r="N193">
        <v>0.62835632183907464</v>
      </c>
      <c r="O193" t="str">
        <f>_xlfn.XLOOKUP(S193, AnglePowerMatching!$H:$H, AnglePowerMatching!$C:$C, "NaN")</f>
        <v>NaN</v>
      </c>
      <c r="P193" t="str">
        <f>_xlfn.XLOOKUP(S193, AnglePowerMatching!$H:$H, AnglePowerMatching!$D:$D, "NaN")</f>
        <v>NaN</v>
      </c>
      <c r="Q193" t="b">
        <f t="shared" si="5"/>
        <v>1</v>
      </c>
      <c r="R193">
        <f>VALUE(_xlfn.TEXTBEFORE(A193, {"L","R"}, , , , A193))</f>
        <v>950</v>
      </c>
      <c r="S193" t="str">
        <f t="shared" si="4"/>
        <v>95020250817</v>
      </c>
    </row>
    <row r="194" spans="1:19" x14ac:dyDescent="0.3">
      <c r="A194" t="s">
        <v>31</v>
      </c>
      <c r="B194" t="s">
        <v>112</v>
      </c>
      <c r="D194">
        <v>0</v>
      </c>
      <c r="E194">
        <v>12</v>
      </c>
      <c r="F194">
        <v>11</v>
      </c>
      <c r="G194">
        <v>0</v>
      </c>
      <c r="H194">
        <v>0</v>
      </c>
      <c r="I194">
        <v>12</v>
      </c>
      <c r="J194">
        <v>12</v>
      </c>
      <c r="K194">
        <v>100</v>
      </c>
      <c r="L194">
        <v>91.666666666666657</v>
      </c>
      <c r="O194" t="str">
        <f>_xlfn.XLOOKUP(S194, AnglePowerMatching!$H:$H, AnglePowerMatching!$C:$C, "NaN")</f>
        <v>NaN</v>
      </c>
      <c r="P194" t="str">
        <f>_xlfn.XLOOKUP(S194, AnglePowerMatching!$H:$H, AnglePowerMatching!$D:$D, "NaN")</f>
        <v>NaN</v>
      </c>
      <c r="Q194" t="b">
        <f t="shared" si="5"/>
        <v>0</v>
      </c>
      <c r="R194">
        <f>VALUE(_xlfn.TEXTBEFORE(A194, {"L","R"}, , , , A194))</f>
        <v>950</v>
      </c>
      <c r="S194" t="str">
        <f t="shared" ref="S194:S246" si="6">R194 &amp; TEXT(B194, "yyyymmdd")</f>
        <v>95020250817</v>
      </c>
    </row>
    <row r="195" spans="1:19" x14ac:dyDescent="0.3">
      <c r="A195" t="s">
        <v>31</v>
      </c>
      <c r="B195" t="s">
        <v>113</v>
      </c>
      <c r="C195">
        <v>89.430894308943081</v>
      </c>
      <c r="D195">
        <v>80.487804878048792</v>
      </c>
      <c r="E195">
        <v>13</v>
      </c>
      <c r="F195">
        <v>13</v>
      </c>
      <c r="G195">
        <v>110</v>
      </c>
      <c r="H195">
        <v>99</v>
      </c>
      <c r="I195">
        <v>136</v>
      </c>
      <c r="J195">
        <v>136</v>
      </c>
      <c r="K195">
        <v>9.5588235294117645</v>
      </c>
      <c r="L195">
        <v>9.5588235294117645</v>
      </c>
      <c r="M195">
        <v>0.38036363636363379</v>
      </c>
      <c r="N195">
        <v>0.37775757575759067</v>
      </c>
      <c r="O195" t="str">
        <f>_xlfn.XLOOKUP(S195, AnglePowerMatching!$H:$H, AnglePowerMatching!$C:$C, "NaN")</f>
        <v>NaN</v>
      </c>
      <c r="P195" t="str">
        <f>_xlfn.XLOOKUP(S195, AnglePowerMatching!$H:$H, AnglePowerMatching!$D:$D, "NaN")</f>
        <v>NaN</v>
      </c>
      <c r="Q195" t="b">
        <f t="shared" ref="Q195:Q247" si="7">NOT(OR(C195=0,D195=0))</f>
        <v>1</v>
      </c>
      <c r="R195">
        <f>VALUE(_xlfn.TEXTBEFORE(A195, {"L","R"}, , , , A195))</f>
        <v>950</v>
      </c>
      <c r="S195" t="str">
        <f t="shared" si="6"/>
        <v>95020250819</v>
      </c>
    </row>
    <row r="196" spans="1:19" x14ac:dyDescent="0.3">
      <c r="A196" t="s">
        <v>31</v>
      </c>
      <c r="B196" t="s">
        <v>114</v>
      </c>
      <c r="C196">
        <v>93.693693693693689</v>
      </c>
      <c r="D196">
        <v>94.545454545454547</v>
      </c>
      <c r="E196">
        <v>12</v>
      </c>
      <c r="F196">
        <v>13</v>
      </c>
      <c r="G196">
        <v>104</v>
      </c>
      <c r="H196">
        <v>104</v>
      </c>
      <c r="I196">
        <v>123</v>
      </c>
      <c r="J196">
        <v>123</v>
      </c>
      <c r="K196">
        <v>9.7560975609756095</v>
      </c>
      <c r="L196">
        <v>10.569105691056912</v>
      </c>
      <c r="M196">
        <v>0.43649038461539252</v>
      </c>
      <c r="N196">
        <v>0.4259230769230804</v>
      </c>
      <c r="O196">
        <f>_xlfn.XLOOKUP(S196, AnglePowerMatching!$H:$H, AnglePowerMatching!$C:$C, "NaN")</f>
        <v>90</v>
      </c>
      <c r="P196">
        <f>_xlfn.XLOOKUP(S196, AnglePowerMatching!$H:$H, AnglePowerMatching!$D:$D, "NaN")</f>
        <v>3</v>
      </c>
      <c r="Q196" t="b">
        <f t="shared" si="7"/>
        <v>1</v>
      </c>
      <c r="R196">
        <f>VALUE(_xlfn.TEXTBEFORE(A196, {"L","R"}, , , , A196))</f>
        <v>950</v>
      </c>
      <c r="S196" t="str">
        <f t="shared" si="6"/>
        <v>95020250820</v>
      </c>
    </row>
    <row r="197" spans="1:19" x14ac:dyDescent="0.3">
      <c r="A197" t="s">
        <v>31</v>
      </c>
      <c r="B197" t="s">
        <v>115</v>
      </c>
      <c r="C197">
        <v>88.073394495412856</v>
      </c>
      <c r="D197">
        <v>86.842105263157904</v>
      </c>
      <c r="E197">
        <v>24</v>
      </c>
      <c r="F197">
        <v>18</v>
      </c>
      <c r="G197">
        <v>96</v>
      </c>
      <c r="H197">
        <v>99</v>
      </c>
      <c r="I197">
        <v>133</v>
      </c>
      <c r="J197">
        <v>132</v>
      </c>
      <c r="K197">
        <v>18.045112781954884</v>
      </c>
      <c r="L197">
        <v>13.636363636363635</v>
      </c>
      <c r="M197">
        <v>0.37583333333333951</v>
      </c>
      <c r="N197">
        <v>0.36998989898990964</v>
      </c>
      <c r="O197">
        <f>_xlfn.XLOOKUP(S197, AnglePowerMatching!$H:$H, AnglePowerMatching!$C:$C, "NaN")</f>
        <v>90</v>
      </c>
      <c r="P197">
        <f>_xlfn.XLOOKUP(S197, AnglePowerMatching!$H:$H, AnglePowerMatching!$D:$D, "NaN")</f>
        <v>5</v>
      </c>
      <c r="Q197" t="b">
        <f t="shared" si="7"/>
        <v>1</v>
      </c>
      <c r="R197">
        <f>VALUE(_xlfn.TEXTBEFORE(A197, {"L","R"}, , , , A197))</f>
        <v>950</v>
      </c>
      <c r="S197" t="str">
        <f t="shared" si="6"/>
        <v>95020250821</v>
      </c>
    </row>
    <row r="198" spans="1:19" x14ac:dyDescent="0.3">
      <c r="A198" t="s">
        <v>31</v>
      </c>
      <c r="B198" t="s">
        <v>116</v>
      </c>
      <c r="C198">
        <v>100</v>
      </c>
      <c r="D198">
        <v>33.333333333333329</v>
      </c>
      <c r="E198">
        <v>0</v>
      </c>
      <c r="F198">
        <v>0</v>
      </c>
      <c r="G198">
        <v>2</v>
      </c>
      <c r="H198">
        <v>1</v>
      </c>
      <c r="I198">
        <v>2</v>
      </c>
      <c r="J198">
        <v>3</v>
      </c>
      <c r="K198">
        <v>0</v>
      </c>
      <c r="L198">
        <v>0</v>
      </c>
      <c r="M198">
        <v>0.31800000000000139</v>
      </c>
      <c r="N198">
        <v>8.0000000000000071E-2</v>
      </c>
      <c r="O198">
        <f>_xlfn.XLOOKUP(S198, AnglePowerMatching!$H:$H, AnglePowerMatching!$C:$C, "NaN")</f>
        <v>90</v>
      </c>
      <c r="P198">
        <f>_xlfn.XLOOKUP(S198, AnglePowerMatching!$H:$H, AnglePowerMatching!$D:$D, "NaN")</f>
        <v>10</v>
      </c>
      <c r="Q198" t="b">
        <f t="shared" si="7"/>
        <v>1</v>
      </c>
      <c r="R198">
        <f>VALUE(_xlfn.TEXTBEFORE(A198, {"L","R"}, , , , A198))</f>
        <v>950</v>
      </c>
      <c r="S198" t="str">
        <f t="shared" si="6"/>
        <v>95020250822</v>
      </c>
    </row>
    <row r="199" spans="1:19" x14ac:dyDescent="0.3">
      <c r="A199" t="s">
        <v>31</v>
      </c>
      <c r="B199" t="s">
        <v>116</v>
      </c>
      <c r="C199">
        <v>94.495412844036693</v>
      </c>
      <c r="D199">
        <v>90.476190476190482</v>
      </c>
      <c r="E199">
        <v>13</v>
      </c>
      <c r="F199">
        <v>19</v>
      </c>
      <c r="G199">
        <v>103</v>
      </c>
      <c r="H199">
        <v>95</v>
      </c>
      <c r="I199">
        <v>122</v>
      </c>
      <c r="J199">
        <v>124</v>
      </c>
      <c r="K199">
        <v>10.655737704918032</v>
      </c>
      <c r="L199">
        <v>15.32258064516129</v>
      </c>
      <c r="M199">
        <v>0.60800970873786198</v>
      </c>
      <c r="N199">
        <v>0.6054526315789438</v>
      </c>
      <c r="O199">
        <f>_xlfn.XLOOKUP(S199, AnglePowerMatching!$H:$H, AnglePowerMatching!$C:$C, "NaN")</f>
        <v>90</v>
      </c>
      <c r="P199">
        <f>_xlfn.XLOOKUP(S199, AnglePowerMatching!$H:$H, AnglePowerMatching!$D:$D, "NaN")</f>
        <v>10</v>
      </c>
      <c r="Q199" t="b">
        <f t="shared" si="7"/>
        <v>1</v>
      </c>
      <c r="R199">
        <f>VALUE(_xlfn.TEXTBEFORE(A199, {"L","R"}, , , , A199))</f>
        <v>950</v>
      </c>
      <c r="S199" t="str">
        <f t="shared" si="6"/>
        <v>95020250822</v>
      </c>
    </row>
    <row r="200" spans="1:19" x14ac:dyDescent="0.3">
      <c r="A200" t="s">
        <v>31</v>
      </c>
      <c r="B200" t="s">
        <v>117</v>
      </c>
      <c r="C200">
        <v>93.693693693693689</v>
      </c>
      <c r="D200">
        <v>85.840707964601776</v>
      </c>
      <c r="E200">
        <v>9</v>
      </c>
      <c r="F200">
        <v>7</v>
      </c>
      <c r="G200">
        <v>104</v>
      </c>
      <c r="H200">
        <v>97</v>
      </c>
      <c r="I200">
        <v>120</v>
      </c>
      <c r="J200">
        <v>120</v>
      </c>
      <c r="K200">
        <v>7.5</v>
      </c>
      <c r="L200">
        <v>5.833333333333333</v>
      </c>
      <c r="M200">
        <v>0.46760576923078112</v>
      </c>
      <c r="N200">
        <v>0.45506185567010871</v>
      </c>
      <c r="O200">
        <f>_xlfn.XLOOKUP(S200, AnglePowerMatching!$H:$H, AnglePowerMatching!$C:$C, "NaN")</f>
        <v>35</v>
      </c>
      <c r="P200">
        <f>_xlfn.XLOOKUP(S200, AnglePowerMatching!$H:$H, AnglePowerMatching!$D:$D, "NaN")</f>
        <v>3</v>
      </c>
      <c r="Q200" t="b">
        <f t="shared" si="7"/>
        <v>1</v>
      </c>
      <c r="R200">
        <f>VALUE(_xlfn.TEXTBEFORE(A200, {"L","R"}, , , , A200))</f>
        <v>950</v>
      </c>
      <c r="S200" t="str">
        <f t="shared" si="6"/>
        <v>95020250827</v>
      </c>
    </row>
    <row r="201" spans="1:19" x14ac:dyDescent="0.3">
      <c r="A201" t="s">
        <v>31</v>
      </c>
      <c r="B201" t="s">
        <v>118</v>
      </c>
      <c r="C201">
        <v>72.033898305084747</v>
      </c>
      <c r="D201">
        <v>82.35294117647058</v>
      </c>
      <c r="E201">
        <v>2</v>
      </c>
      <c r="F201">
        <v>1</v>
      </c>
      <c r="G201">
        <v>85</v>
      </c>
      <c r="H201">
        <v>98</v>
      </c>
      <c r="I201">
        <v>120</v>
      </c>
      <c r="J201">
        <v>120</v>
      </c>
      <c r="K201">
        <v>1.6666666666666667</v>
      </c>
      <c r="L201">
        <v>0.83333333333333337</v>
      </c>
      <c r="M201">
        <v>0.30099999999999294</v>
      </c>
      <c r="N201">
        <v>0.30474489795918464</v>
      </c>
      <c r="O201">
        <f>_xlfn.XLOOKUP(S201, AnglePowerMatching!$H:$H, AnglePowerMatching!$C:$C, "NaN")</f>
        <v>35</v>
      </c>
      <c r="P201">
        <f>_xlfn.XLOOKUP(S201, AnglePowerMatching!$H:$H, AnglePowerMatching!$D:$D, "NaN")</f>
        <v>5</v>
      </c>
      <c r="Q201" t="b">
        <f t="shared" si="7"/>
        <v>1</v>
      </c>
      <c r="R201">
        <f>VALUE(_xlfn.TEXTBEFORE(A201, {"L","R"}, , , , A201))</f>
        <v>950</v>
      </c>
      <c r="S201" t="str">
        <f t="shared" si="6"/>
        <v>95020250828</v>
      </c>
    </row>
    <row r="202" spans="1:19" x14ac:dyDescent="0.3">
      <c r="A202" t="s">
        <v>31</v>
      </c>
      <c r="B202" t="s">
        <v>127</v>
      </c>
      <c r="C202">
        <v>100</v>
      </c>
      <c r="D202">
        <v>100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2</v>
      </c>
      <c r="K202">
        <v>0</v>
      </c>
      <c r="L202">
        <v>50</v>
      </c>
      <c r="M202">
        <v>0.67999999999999972</v>
      </c>
      <c r="N202">
        <v>0.54100000000000004</v>
      </c>
      <c r="O202">
        <f>_xlfn.XLOOKUP(S202, AnglePowerMatching!$H:$H, AnglePowerMatching!$C:$C, "NaN")</f>
        <v>35</v>
      </c>
      <c r="P202">
        <f>_xlfn.XLOOKUP(S202, AnglePowerMatching!$H:$H, AnglePowerMatching!$D:$D, "NaN")</f>
        <v>10</v>
      </c>
      <c r="Q202" t="b">
        <f t="shared" si="7"/>
        <v>1</v>
      </c>
      <c r="R202">
        <f>VALUE(_xlfn.TEXTBEFORE(A202, {"L","R"}, , , , A202))</f>
        <v>950</v>
      </c>
      <c r="S202" t="str">
        <f t="shared" si="6"/>
        <v>95020250829</v>
      </c>
    </row>
    <row r="203" spans="1:19" x14ac:dyDescent="0.3">
      <c r="A203" t="s">
        <v>31</v>
      </c>
      <c r="B203" t="s">
        <v>127</v>
      </c>
      <c r="C203">
        <v>50</v>
      </c>
      <c r="D203">
        <v>60</v>
      </c>
      <c r="E203">
        <v>4</v>
      </c>
      <c r="F203">
        <v>4</v>
      </c>
      <c r="G203">
        <v>2</v>
      </c>
      <c r="H203">
        <v>3</v>
      </c>
      <c r="I203">
        <v>8</v>
      </c>
      <c r="J203">
        <v>9</v>
      </c>
      <c r="K203">
        <v>50</v>
      </c>
      <c r="L203">
        <v>44.444444444444443</v>
      </c>
      <c r="M203">
        <v>0.60400000000000098</v>
      </c>
      <c r="N203">
        <v>0.4150000000000042</v>
      </c>
      <c r="O203">
        <f>_xlfn.XLOOKUP(S203, AnglePowerMatching!$H:$H, AnglePowerMatching!$C:$C, "NaN")</f>
        <v>35</v>
      </c>
      <c r="P203">
        <f>_xlfn.XLOOKUP(S203, AnglePowerMatching!$H:$H, AnglePowerMatching!$D:$D, "NaN")</f>
        <v>10</v>
      </c>
      <c r="Q203" t="b">
        <f t="shared" si="7"/>
        <v>1</v>
      </c>
      <c r="R203">
        <f>VALUE(_xlfn.TEXTBEFORE(A203, {"L","R"}, , , , A203))</f>
        <v>950</v>
      </c>
      <c r="S203" t="str">
        <f t="shared" si="6"/>
        <v>95020250829</v>
      </c>
    </row>
    <row r="204" spans="1:19" x14ac:dyDescent="0.3">
      <c r="A204" t="s">
        <v>31</v>
      </c>
      <c r="B204" t="s">
        <v>127</v>
      </c>
      <c r="C204">
        <v>89.411764705882362</v>
      </c>
      <c r="D204">
        <v>87.096774193548384</v>
      </c>
      <c r="E204">
        <v>35</v>
      </c>
      <c r="F204">
        <v>27</v>
      </c>
      <c r="G204">
        <v>76</v>
      </c>
      <c r="H204">
        <v>81</v>
      </c>
      <c r="I204">
        <v>120</v>
      </c>
      <c r="J204">
        <v>120</v>
      </c>
      <c r="K204">
        <v>29.166666666666668</v>
      </c>
      <c r="L204">
        <v>22.5</v>
      </c>
      <c r="M204">
        <v>0.68218421052632083</v>
      </c>
      <c r="N204">
        <v>0.65233333333333998</v>
      </c>
      <c r="O204">
        <f>_xlfn.XLOOKUP(S204, AnglePowerMatching!$H:$H, AnglePowerMatching!$C:$C, "NaN")</f>
        <v>35</v>
      </c>
      <c r="P204">
        <f>_xlfn.XLOOKUP(S204, AnglePowerMatching!$H:$H, AnglePowerMatching!$D:$D, "NaN")</f>
        <v>10</v>
      </c>
      <c r="Q204" t="b">
        <f t="shared" si="7"/>
        <v>1</v>
      </c>
      <c r="R204">
        <f>VALUE(_xlfn.TEXTBEFORE(A204, {"L","R"}, , , , A204))</f>
        <v>950</v>
      </c>
      <c r="S204" t="str">
        <f t="shared" si="6"/>
        <v>95020250829</v>
      </c>
    </row>
    <row r="205" spans="1:19" x14ac:dyDescent="0.3">
      <c r="A205" t="s">
        <v>31</v>
      </c>
      <c r="B205" t="s">
        <v>128</v>
      </c>
      <c r="C205">
        <v>81.034482758620683</v>
      </c>
      <c r="D205">
        <v>76.724137931034491</v>
      </c>
      <c r="E205">
        <v>4</v>
      </c>
      <c r="F205">
        <v>4</v>
      </c>
      <c r="G205">
        <v>94</v>
      </c>
      <c r="H205">
        <v>89</v>
      </c>
      <c r="I205">
        <v>120</v>
      </c>
      <c r="J205">
        <v>120</v>
      </c>
      <c r="K205">
        <v>3.3333333333333335</v>
      </c>
      <c r="L205">
        <v>3.3333333333333335</v>
      </c>
      <c r="M205">
        <v>0.37392553191489475</v>
      </c>
      <c r="N205">
        <v>0.36735955056179903</v>
      </c>
      <c r="O205">
        <f>_xlfn.XLOOKUP(S205, AnglePowerMatching!$H:$H, AnglePowerMatching!$C:$C, "NaN")</f>
        <v>26</v>
      </c>
      <c r="P205">
        <f>_xlfn.XLOOKUP(S205, AnglePowerMatching!$H:$H, AnglePowerMatching!$D:$D, "NaN")</f>
        <v>3</v>
      </c>
      <c r="Q205" t="b">
        <f t="shared" si="7"/>
        <v>1</v>
      </c>
      <c r="R205">
        <f>VALUE(_xlfn.TEXTBEFORE(A205, {"L","R"}, , , , A205))</f>
        <v>950</v>
      </c>
      <c r="S205" t="str">
        <f t="shared" si="6"/>
        <v>95020250909</v>
      </c>
    </row>
    <row r="206" spans="1:19" x14ac:dyDescent="0.3">
      <c r="A206" t="s">
        <v>31</v>
      </c>
      <c r="B206" t="s">
        <v>129</v>
      </c>
      <c r="C206">
        <v>92.5</v>
      </c>
      <c r="D206">
        <v>92.682926829268297</v>
      </c>
      <c r="E206">
        <v>42</v>
      </c>
      <c r="F206">
        <v>40</v>
      </c>
      <c r="G206">
        <v>74</v>
      </c>
      <c r="H206">
        <v>76</v>
      </c>
      <c r="I206">
        <v>122</v>
      </c>
      <c r="J206">
        <v>122</v>
      </c>
      <c r="K206">
        <v>34.42622950819672</v>
      </c>
      <c r="L206">
        <v>32.786885245901637</v>
      </c>
      <c r="M206">
        <v>0.44649999999998835</v>
      </c>
      <c r="N206">
        <v>0.44025000000001152</v>
      </c>
      <c r="O206">
        <f>_xlfn.XLOOKUP(S206, AnglePowerMatching!$H:$H, AnglePowerMatching!$C:$C, "NaN")</f>
        <v>26</v>
      </c>
      <c r="P206">
        <f>_xlfn.XLOOKUP(S206, AnglePowerMatching!$H:$H, AnglePowerMatching!$D:$D, "NaN")</f>
        <v>5</v>
      </c>
      <c r="Q206" t="b">
        <f t="shared" si="7"/>
        <v>1</v>
      </c>
      <c r="R206">
        <f>VALUE(_xlfn.TEXTBEFORE(A206, {"L","R"}, , , , A206))</f>
        <v>950</v>
      </c>
      <c r="S206" t="str">
        <f t="shared" si="6"/>
        <v>95020250910</v>
      </c>
    </row>
    <row r="207" spans="1:19" x14ac:dyDescent="0.3">
      <c r="A207" t="s">
        <v>31</v>
      </c>
      <c r="B207" t="s">
        <v>130</v>
      </c>
      <c r="C207">
        <v>93.150684931506845</v>
      </c>
      <c r="D207">
        <v>88.732394366197184</v>
      </c>
      <c r="E207">
        <v>47</v>
      </c>
      <c r="F207">
        <v>49</v>
      </c>
      <c r="G207">
        <v>68</v>
      </c>
      <c r="H207">
        <v>63</v>
      </c>
      <c r="I207">
        <v>120</v>
      </c>
      <c r="J207">
        <v>120</v>
      </c>
      <c r="K207">
        <v>39.166666666666664</v>
      </c>
      <c r="L207">
        <v>40.833333333333336</v>
      </c>
      <c r="M207">
        <v>0.51986764705881083</v>
      </c>
      <c r="N207">
        <v>0.51471428571428202</v>
      </c>
      <c r="O207">
        <f>_xlfn.XLOOKUP(S207, AnglePowerMatching!$H:$H, AnglePowerMatching!$C:$C, "NaN")</f>
        <v>26</v>
      </c>
      <c r="P207">
        <f>_xlfn.XLOOKUP(S207, AnglePowerMatching!$H:$H, AnglePowerMatching!$D:$D, "NaN")</f>
        <v>10</v>
      </c>
      <c r="Q207" t="b">
        <f t="shared" si="7"/>
        <v>1</v>
      </c>
      <c r="R207">
        <f>VALUE(_xlfn.TEXTBEFORE(A207, {"L","R"}, , , , A207))</f>
        <v>950</v>
      </c>
      <c r="S207" t="str">
        <f t="shared" si="6"/>
        <v>95020250911</v>
      </c>
    </row>
    <row r="208" spans="1:19" x14ac:dyDescent="0.3">
      <c r="A208" t="s">
        <v>39</v>
      </c>
      <c r="B208" t="s">
        <v>61</v>
      </c>
      <c r="C208">
        <v>57.142857142857139</v>
      </c>
      <c r="D208">
        <v>63.865546218487388</v>
      </c>
      <c r="E208">
        <v>1</v>
      </c>
      <c r="F208">
        <v>1</v>
      </c>
      <c r="G208">
        <v>68</v>
      </c>
      <c r="H208">
        <v>76</v>
      </c>
      <c r="I208">
        <v>120</v>
      </c>
      <c r="J208">
        <v>120</v>
      </c>
      <c r="K208">
        <v>0.83333333333333337</v>
      </c>
      <c r="L208">
        <v>0.83333333333333337</v>
      </c>
      <c r="M208">
        <v>0.28710294117646323</v>
      </c>
      <c r="N208">
        <v>0.32257894736842063</v>
      </c>
      <c r="O208">
        <f>_xlfn.XLOOKUP(S208, AnglePowerMatching!$H:$H, AnglePowerMatching!$C:$C, "NaN")</f>
        <v>66</v>
      </c>
      <c r="P208">
        <f>_xlfn.XLOOKUP(S208, AnglePowerMatching!$H:$H, AnglePowerMatching!$D:$D, "NaN")</f>
        <v>3</v>
      </c>
      <c r="Q208" t="b">
        <f t="shared" si="7"/>
        <v>1</v>
      </c>
      <c r="R208">
        <f>VALUE(_xlfn.TEXTBEFORE(A208, {"L","R"}, , , , A208))</f>
        <v>994</v>
      </c>
      <c r="S208" t="str">
        <f t="shared" si="6"/>
        <v>99420251016</v>
      </c>
    </row>
    <row r="209" spans="1:19" x14ac:dyDescent="0.3">
      <c r="A209" t="s">
        <v>39</v>
      </c>
      <c r="B209" t="s">
        <v>63</v>
      </c>
      <c r="C209">
        <v>74.285714285714292</v>
      </c>
      <c r="D209">
        <v>77.981651376146786</v>
      </c>
      <c r="E209">
        <v>15</v>
      </c>
      <c r="F209">
        <v>11</v>
      </c>
      <c r="G209">
        <v>78</v>
      </c>
      <c r="H209">
        <v>85</v>
      </c>
      <c r="I209">
        <v>120</v>
      </c>
      <c r="J209">
        <v>120</v>
      </c>
      <c r="K209">
        <v>12.5</v>
      </c>
      <c r="L209">
        <v>9.1666666666666661</v>
      </c>
      <c r="M209">
        <v>0.62887179487178457</v>
      </c>
      <c r="N209">
        <v>0.59248235294119223</v>
      </c>
      <c r="O209">
        <f>_xlfn.XLOOKUP(S209, AnglePowerMatching!$H:$H, AnglePowerMatching!$C:$C, "NaN")</f>
        <v>66</v>
      </c>
      <c r="P209">
        <f>_xlfn.XLOOKUP(S209, AnglePowerMatching!$H:$H, AnglePowerMatching!$D:$D, "NaN")</f>
        <v>5</v>
      </c>
      <c r="Q209" t="b">
        <f t="shared" si="7"/>
        <v>1</v>
      </c>
      <c r="R209">
        <f>VALUE(_xlfn.TEXTBEFORE(A209, {"L","R"}, , , , A209))</f>
        <v>994</v>
      </c>
      <c r="S209" t="str">
        <f t="shared" si="6"/>
        <v>99420251018</v>
      </c>
    </row>
    <row r="210" spans="1:19" x14ac:dyDescent="0.3">
      <c r="A210" t="s">
        <v>39</v>
      </c>
      <c r="B210" t="s">
        <v>131</v>
      </c>
      <c r="C210">
        <v>69.911504424778755</v>
      </c>
      <c r="D210">
        <v>63.559322033898304</v>
      </c>
      <c r="E210">
        <v>13</v>
      </c>
      <c r="F210">
        <v>8</v>
      </c>
      <c r="G210">
        <v>79</v>
      </c>
      <c r="H210">
        <v>75</v>
      </c>
      <c r="I210">
        <v>126</v>
      </c>
      <c r="J210">
        <v>126</v>
      </c>
      <c r="K210">
        <v>10.317460317460316</v>
      </c>
      <c r="L210">
        <v>6.3492063492063489</v>
      </c>
      <c r="M210">
        <v>0.38740506329114538</v>
      </c>
      <c r="N210">
        <v>0.36110666666667335</v>
      </c>
      <c r="O210">
        <f>_xlfn.XLOOKUP(S210, AnglePowerMatching!$H:$H, AnglePowerMatching!$C:$C, "NaN")</f>
        <v>66</v>
      </c>
      <c r="P210">
        <f>_xlfn.XLOOKUP(S210, AnglePowerMatching!$H:$H, AnglePowerMatching!$D:$D, "NaN")</f>
        <v>10</v>
      </c>
      <c r="Q210" t="b">
        <f t="shared" si="7"/>
        <v>1</v>
      </c>
      <c r="R210">
        <f>VALUE(_xlfn.TEXTBEFORE(A210, {"L","R"}, , , , A210))</f>
        <v>994</v>
      </c>
      <c r="S210" t="str">
        <f t="shared" si="6"/>
        <v>99420251019</v>
      </c>
    </row>
    <row r="211" spans="1:19" x14ac:dyDescent="0.3">
      <c r="A211" t="s">
        <v>39</v>
      </c>
      <c r="B211" t="s">
        <v>64</v>
      </c>
      <c r="C211">
        <v>64.705882352941174</v>
      </c>
      <c r="D211">
        <v>57.499999999999993</v>
      </c>
      <c r="E211">
        <v>1</v>
      </c>
      <c r="F211">
        <v>0</v>
      </c>
      <c r="G211">
        <v>77</v>
      </c>
      <c r="H211">
        <v>69</v>
      </c>
      <c r="I211">
        <v>120</v>
      </c>
      <c r="J211">
        <v>120</v>
      </c>
      <c r="K211">
        <v>0.83333333333333337</v>
      </c>
      <c r="L211">
        <v>0</v>
      </c>
      <c r="M211">
        <v>0.24832467532468375</v>
      </c>
      <c r="N211">
        <v>0.24298550724637241</v>
      </c>
      <c r="O211">
        <f>_xlfn.XLOOKUP(S211, AnglePowerMatching!$H:$H, AnglePowerMatching!$C:$C, "NaN")</f>
        <v>90</v>
      </c>
      <c r="P211">
        <f>_xlfn.XLOOKUP(S211, AnglePowerMatching!$H:$H, AnglePowerMatching!$D:$D, "NaN")</f>
        <v>3</v>
      </c>
      <c r="Q211" t="b">
        <f t="shared" si="7"/>
        <v>1</v>
      </c>
      <c r="R211">
        <f>VALUE(_xlfn.TEXTBEFORE(A211, {"L","R"}, , , , A211))</f>
        <v>994</v>
      </c>
      <c r="S211" t="str">
        <f t="shared" si="6"/>
        <v>99420251025</v>
      </c>
    </row>
    <row r="212" spans="1:19" x14ac:dyDescent="0.3">
      <c r="A212" t="s">
        <v>39</v>
      </c>
      <c r="B212" t="s">
        <v>65</v>
      </c>
      <c r="C212">
        <v>80.508474576271183</v>
      </c>
      <c r="D212">
        <v>68.965517241379317</v>
      </c>
      <c r="E212">
        <v>2</v>
      </c>
      <c r="F212">
        <v>4</v>
      </c>
      <c r="G212">
        <v>95</v>
      </c>
      <c r="H212">
        <v>80</v>
      </c>
      <c r="I212">
        <v>120</v>
      </c>
      <c r="J212">
        <v>120</v>
      </c>
      <c r="K212">
        <v>1.6666666666666667</v>
      </c>
      <c r="L212">
        <v>3.3333333333333335</v>
      </c>
      <c r="M212">
        <v>0.65284210526315167</v>
      </c>
      <c r="N212">
        <v>0.59332499999999166</v>
      </c>
      <c r="O212">
        <f>_xlfn.XLOOKUP(S212, AnglePowerMatching!$H:$H, AnglePowerMatching!$C:$C, "NaN")</f>
        <v>90</v>
      </c>
      <c r="P212">
        <f>_xlfn.XLOOKUP(S212, AnglePowerMatching!$H:$H, AnglePowerMatching!$D:$D, "NaN")</f>
        <v>5</v>
      </c>
      <c r="Q212" t="b">
        <f t="shared" si="7"/>
        <v>1</v>
      </c>
      <c r="R212">
        <f>VALUE(_xlfn.TEXTBEFORE(A212, {"L","R"}, , , , A212))</f>
        <v>994</v>
      </c>
      <c r="S212" t="str">
        <f t="shared" si="6"/>
        <v>99420251026</v>
      </c>
    </row>
    <row r="213" spans="1:19" x14ac:dyDescent="0.3">
      <c r="A213" t="s">
        <v>39</v>
      </c>
      <c r="B213" t="s">
        <v>66</v>
      </c>
      <c r="C213">
        <v>70.370370370370367</v>
      </c>
      <c r="D213">
        <v>75.862068965517238</v>
      </c>
      <c r="E213">
        <v>93</v>
      </c>
      <c r="F213">
        <v>91</v>
      </c>
      <c r="G213">
        <v>19</v>
      </c>
      <c r="H213">
        <v>22</v>
      </c>
      <c r="I213">
        <v>120</v>
      </c>
      <c r="J213">
        <v>120</v>
      </c>
      <c r="K213">
        <v>77.5</v>
      </c>
      <c r="L213">
        <v>75.833333333333329</v>
      </c>
      <c r="M213">
        <v>1.3003157894736881</v>
      </c>
      <c r="N213">
        <v>0.98690909090907619</v>
      </c>
      <c r="O213">
        <f>_xlfn.XLOOKUP(S213, AnglePowerMatching!$H:$H, AnglePowerMatching!$C:$C, "NaN")</f>
        <v>90</v>
      </c>
      <c r="P213">
        <f>_xlfn.XLOOKUP(S213, AnglePowerMatching!$H:$H, AnglePowerMatching!$D:$D, "NaN")</f>
        <v>10</v>
      </c>
      <c r="Q213" t="b">
        <f t="shared" si="7"/>
        <v>1</v>
      </c>
      <c r="R213">
        <f>VALUE(_xlfn.TEXTBEFORE(A213, {"L","R"}, , , , A213))</f>
        <v>994</v>
      </c>
      <c r="S213" t="str">
        <f t="shared" si="6"/>
        <v>99420251027</v>
      </c>
    </row>
    <row r="214" spans="1:19" x14ac:dyDescent="0.3">
      <c r="A214" t="s">
        <v>39</v>
      </c>
      <c r="B214" t="s">
        <v>81</v>
      </c>
      <c r="D214">
        <v>100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0</v>
      </c>
      <c r="N214">
        <v>0.33600000000000002</v>
      </c>
      <c r="O214">
        <f>_xlfn.XLOOKUP(S214, AnglePowerMatching!$H:$H, AnglePowerMatching!$C:$C, "NaN")</f>
        <v>35</v>
      </c>
      <c r="P214">
        <f>_xlfn.XLOOKUP(S214, AnglePowerMatching!$H:$H, AnglePowerMatching!$D:$D, "NaN")</f>
        <v>3</v>
      </c>
      <c r="Q214" t="b">
        <f t="shared" si="7"/>
        <v>0</v>
      </c>
      <c r="R214">
        <f>VALUE(_xlfn.TEXTBEFORE(A214, {"L","R"}, , , , A214))</f>
        <v>994</v>
      </c>
      <c r="S214" t="str">
        <f t="shared" si="6"/>
        <v>99420251101</v>
      </c>
    </row>
    <row r="215" spans="1:19" x14ac:dyDescent="0.3">
      <c r="A215" t="s">
        <v>39</v>
      </c>
      <c r="B215" t="s">
        <v>81</v>
      </c>
      <c r="C215">
        <v>69.387755102040813</v>
      </c>
      <c r="D215">
        <v>78.571428571428569</v>
      </c>
      <c r="E215">
        <v>22</v>
      </c>
      <c r="F215">
        <v>22</v>
      </c>
      <c r="G215">
        <v>68</v>
      </c>
      <c r="H215">
        <v>77</v>
      </c>
      <c r="I215">
        <v>120</v>
      </c>
      <c r="J215">
        <v>120</v>
      </c>
      <c r="K215">
        <v>18.333333333333332</v>
      </c>
      <c r="L215">
        <v>18.333333333333332</v>
      </c>
      <c r="M215">
        <v>0.60675000000000545</v>
      </c>
      <c r="N215">
        <v>0.45418181818181663</v>
      </c>
      <c r="O215">
        <f>_xlfn.XLOOKUP(S215, AnglePowerMatching!$H:$H, AnglePowerMatching!$C:$C, "NaN")</f>
        <v>35</v>
      </c>
      <c r="P215">
        <f>_xlfn.XLOOKUP(S215, AnglePowerMatching!$H:$H, AnglePowerMatching!$D:$D, "NaN")</f>
        <v>3</v>
      </c>
      <c r="Q215" t="b">
        <f t="shared" si="7"/>
        <v>1</v>
      </c>
      <c r="R215">
        <f>VALUE(_xlfn.TEXTBEFORE(A215, {"L","R"}, , , , A215))</f>
        <v>994</v>
      </c>
      <c r="S215" t="str">
        <f t="shared" si="6"/>
        <v>99420251101</v>
      </c>
    </row>
    <row r="216" spans="1:19" x14ac:dyDescent="0.3">
      <c r="A216" t="s">
        <v>39</v>
      </c>
      <c r="B216" t="s">
        <v>68</v>
      </c>
      <c r="C216">
        <v>79.710144927536234</v>
      </c>
      <c r="D216">
        <v>75.342465753424662</v>
      </c>
      <c r="E216">
        <v>51</v>
      </c>
      <c r="F216">
        <v>47</v>
      </c>
      <c r="G216">
        <v>55</v>
      </c>
      <c r="H216">
        <v>55</v>
      </c>
      <c r="I216">
        <v>120</v>
      </c>
      <c r="J216">
        <v>120</v>
      </c>
      <c r="K216">
        <v>42.5</v>
      </c>
      <c r="L216">
        <v>39.166666666666664</v>
      </c>
      <c r="M216">
        <v>1.0394909090909026</v>
      </c>
      <c r="N216">
        <v>1.0396727272727397</v>
      </c>
      <c r="O216">
        <f>_xlfn.XLOOKUP(S216, AnglePowerMatching!$H:$H, AnglePowerMatching!$C:$C, "NaN")</f>
        <v>35</v>
      </c>
      <c r="P216">
        <f>_xlfn.XLOOKUP(S216, AnglePowerMatching!$H:$H, AnglePowerMatching!$D:$D, "NaN")</f>
        <v>5</v>
      </c>
      <c r="Q216" t="b">
        <f t="shared" si="7"/>
        <v>1</v>
      </c>
      <c r="R216">
        <f>VALUE(_xlfn.TEXTBEFORE(A216, {"L","R"}, , , , A216))</f>
        <v>994</v>
      </c>
      <c r="S216" t="str">
        <f t="shared" si="6"/>
        <v>99420251103</v>
      </c>
    </row>
    <row r="217" spans="1:19" x14ac:dyDescent="0.3">
      <c r="A217" t="s">
        <v>39</v>
      </c>
      <c r="B217" t="s">
        <v>68</v>
      </c>
      <c r="C217">
        <v>88.983050847457619</v>
      </c>
      <c r="D217">
        <v>89.075630252100851</v>
      </c>
      <c r="E217">
        <v>2</v>
      </c>
      <c r="F217">
        <v>1</v>
      </c>
      <c r="G217">
        <v>105</v>
      </c>
      <c r="H217">
        <v>106</v>
      </c>
      <c r="I217">
        <v>120</v>
      </c>
      <c r="J217">
        <v>120</v>
      </c>
      <c r="K217">
        <v>1.6666666666666667</v>
      </c>
      <c r="L217">
        <v>0.83333333333333337</v>
      </c>
      <c r="M217">
        <v>0.42023809523808342</v>
      </c>
      <c r="N217">
        <v>0.42601886792453164</v>
      </c>
      <c r="O217">
        <f>_xlfn.XLOOKUP(S217, AnglePowerMatching!$H:$H, AnglePowerMatching!$C:$C, "NaN")</f>
        <v>35</v>
      </c>
      <c r="P217">
        <f>_xlfn.XLOOKUP(S217, AnglePowerMatching!$H:$H, AnglePowerMatching!$D:$D, "NaN")</f>
        <v>5</v>
      </c>
      <c r="Q217" t="b">
        <f t="shared" si="7"/>
        <v>1</v>
      </c>
      <c r="R217">
        <f>VALUE(_xlfn.TEXTBEFORE(A217, {"L","R"}, , , , A217))</f>
        <v>994</v>
      </c>
      <c r="S217" t="str">
        <f t="shared" si="6"/>
        <v>99420251103</v>
      </c>
    </row>
    <row r="218" spans="1:19" x14ac:dyDescent="0.3">
      <c r="A218" t="s">
        <v>39</v>
      </c>
      <c r="B218" t="s">
        <v>143</v>
      </c>
      <c r="C218">
        <v>75</v>
      </c>
      <c r="D218">
        <v>75.675675675675677</v>
      </c>
      <c r="E218">
        <v>20</v>
      </c>
      <c r="F218">
        <v>9</v>
      </c>
      <c r="G218">
        <v>75</v>
      </c>
      <c r="H218">
        <v>84</v>
      </c>
      <c r="I218">
        <v>120</v>
      </c>
      <c r="J218">
        <v>120</v>
      </c>
      <c r="K218">
        <v>16.666666666666664</v>
      </c>
      <c r="L218">
        <v>7.5</v>
      </c>
      <c r="M218">
        <v>0.81501333333333736</v>
      </c>
      <c r="N218">
        <v>0.67048809523809627</v>
      </c>
      <c r="O218">
        <f>_xlfn.XLOOKUP(S218, AnglePowerMatching!$H:$H, AnglePowerMatching!$C:$C, "NaN")</f>
        <v>16</v>
      </c>
      <c r="P218">
        <f>_xlfn.XLOOKUP(S218, AnglePowerMatching!$H:$H, AnglePowerMatching!$D:$D, "NaN")</f>
        <v>3</v>
      </c>
      <c r="Q218" t="b">
        <f t="shared" si="7"/>
        <v>1</v>
      </c>
      <c r="R218">
        <f>VALUE(_xlfn.TEXTBEFORE(A218, {"L","R"}, , , , A218))</f>
        <v>994</v>
      </c>
      <c r="S218" t="str">
        <f t="shared" si="6"/>
        <v>99420251119</v>
      </c>
    </row>
    <row r="219" spans="1:19" x14ac:dyDescent="0.3">
      <c r="A219" t="s">
        <v>39</v>
      </c>
      <c r="B219" t="s">
        <v>152</v>
      </c>
      <c r="C219">
        <v>63.963963963963963</v>
      </c>
      <c r="D219">
        <v>65.346534653465355</v>
      </c>
      <c r="E219">
        <v>9</v>
      </c>
      <c r="F219">
        <v>19</v>
      </c>
      <c r="G219">
        <v>71</v>
      </c>
      <c r="H219">
        <v>66</v>
      </c>
      <c r="I219">
        <v>120</v>
      </c>
      <c r="J219">
        <v>120</v>
      </c>
      <c r="K219">
        <v>7.5</v>
      </c>
      <c r="L219">
        <v>15.833333333333332</v>
      </c>
      <c r="M219">
        <v>0.59278873239436913</v>
      </c>
      <c r="N219">
        <v>0.55643939393941522</v>
      </c>
      <c r="O219">
        <f>_xlfn.XLOOKUP(S219, AnglePowerMatching!$H:$H, AnglePowerMatching!$C:$C, "NaN")</f>
        <v>16</v>
      </c>
      <c r="P219">
        <f>_xlfn.XLOOKUP(S219, AnglePowerMatching!$H:$H, AnglePowerMatching!$D:$D, "NaN")</f>
        <v>5</v>
      </c>
      <c r="Q219" t="b">
        <f t="shared" si="7"/>
        <v>1</v>
      </c>
      <c r="R219">
        <f>VALUE(_xlfn.TEXTBEFORE(A219, {"L","R"}, , , , A219))</f>
        <v>994</v>
      </c>
      <c r="S219" t="str">
        <f t="shared" si="6"/>
        <v>99420251120</v>
      </c>
    </row>
    <row r="220" spans="1:19" x14ac:dyDescent="0.3">
      <c r="A220" t="s">
        <v>39</v>
      </c>
      <c r="B220" t="s">
        <v>121</v>
      </c>
      <c r="C220">
        <v>63.636363636363633</v>
      </c>
      <c r="D220">
        <v>67.415730337078656</v>
      </c>
      <c r="E220">
        <v>32</v>
      </c>
      <c r="F220">
        <v>31</v>
      </c>
      <c r="G220">
        <v>56</v>
      </c>
      <c r="H220">
        <v>60</v>
      </c>
      <c r="I220">
        <v>120</v>
      </c>
      <c r="J220">
        <v>120</v>
      </c>
      <c r="K220">
        <v>26.666666666666668</v>
      </c>
      <c r="L220">
        <v>25.833333333333336</v>
      </c>
      <c r="M220">
        <v>0.61192857142857948</v>
      </c>
      <c r="N220">
        <v>0.54565000000002106</v>
      </c>
      <c r="O220">
        <f>_xlfn.XLOOKUP(S220, AnglePowerMatching!$H:$H, AnglePowerMatching!$C:$C, "NaN")</f>
        <v>16</v>
      </c>
      <c r="P220">
        <f>_xlfn.XLOOKUP(S220, AnglePowerMatching!$H:$H, AnglePowerMatching!$D:$D, "NaN")</f>
        <v>5</v>
      </c>
      <c r="Q220" t="b">
        <f t="shared" si="7"/>
        <v>1</v>
      </c>
      <c r="R220">
        <f>VALUE(_xlfn.TEXTBEFORE(A220, {"L","R"}, , , , A220))</f>
        <v>994</v>
      </c>
      <c r="S220" t="str">
        <f t="shared" si="6"/>
        <v>99420251121</v>
      </c>
    </row>
    <row r="221" spans="1:19" x14ac:dyDescent="0.3">
      <c r="A221" t="s">
        <v>39</v>
      </c>
      <c r="B221" t="s">
        <v>40</v>
      </c>
      <c r="C221">
        <v>61.666666666666671</v>
      </c>
      <c r="D221">
        <v>55.833333333333336</v>
      </c>
      <c r="E221">
        <v>0</v>
      </c>
      <c r="F221">
        <v>0</v>
      </c>
      <c r="G221">
        <v>74</v>
      </c>
      <c r="H221">
        <v>67</v>
      </c>
      <c r="I221">
        <v>120</v>
      </c>
      <c r="J221">
        <v>120</v>
      </c>
      <c r="K221">
        <v>0</v>
      </c>
      <c r="L221">
        <v>0</v>
      </c>
      <c r="M221">
        <v>0.28529729729729014</v>
      </c>
      <c r="N221">
        <v>0.286164179104478</v>
      </c>
      <c r="O221">
        <f>_xlfn.XLOOKUP(S221, AnglePowerMatching!$H:$H, AnglePowerMatching!$C:$C, "NaN")</f>
        <v>16</v>
      </c>
      <c r="P221">
        <f>_xlfn.XLOOKUP(S221, AnglePowerMatching!$H:$H, AnglePowerMatching!$D:$D, "NaN")</f>
        <v>3</v>
      </c>
      <c r="Q221" t="b">
        <f t="shared" si="7"/>
        <v>1</v>
      </c>
      <c r="R221">
        <f>VALUE(_xlfn.TEXTBEFORE(A221, {"L","R"}, , , , A221))</f>
        <v>994</v>
      </c>
      <c r="S221" t="str">
        <f t="shared" si="6"/>
        <v>99420251122</v>
      </c>
    </row>
    <row r="222" spans="1:19" x14ac:dyDescent="0.3">
      <c r="A222" t="s">
        <v>39</v>
      </c>
      <c r="B222" t="s">
        <v>41</v>
      </c>
      <c r="C222">
        <v>60.204081632653065</v>
      </c>
      <c r="D222">
        <v>65.686274509803923</v>
      </c>
      <c r="E222">
        <v>22</v>
      </c>
      <c r="F222">
        <v>18</v>
      </c>
      <c r="G222">
        <v>59</v>
      </c>
      <c r="H222">
        <v>67</v>
      </c>
      <c r="I222">
        <v>120</v>
      </c>
      <c r="J222">
        <v>120</v>
      </c>
      <c r="K222">
        <v>18.333333333333332</v>
      </c>
      <c r="L222">
        <v>15</v>
      </c>
      <c r="M222">
        <v>0.62038983050847252</v>
      </c>
      <c r="N222">
        <v>0.67235820895522258</v>
      </c>
      <c r="O222">
        <f>_xlfn.XLOOKUP(S222, AnglePowerMatching!$H:$H, AnglePowerMatching!$C:$C, "NaN")</f>
        <v>16</v>
      </c>
      <c r="P222">
        <f>_xlfn.XLOOKUP(S222, AnglePowerMatching!$H:$H, AnglePowerMatching!$D:$D, "NaN")</f>
        <v>10</v>
      </c>
      <c r="Q222" t="b">
        <f t="shared" si="7"/>
        <v>1</v>
      </c>
      <c r="R222">
        <f>VALUE(_xlfn.TEXTBEFORE(A222, {"L","R"}, , , , A222))</f>
        <v>994</v>
      </c>
      <c r="S222" t="str">
        <f t="shared" si="6"/>
        <v>99420251123</v>
      </c>
    </row>
    <row r="223" spans="1:19" x14ac:dyDescent="0.3">
      <c r="A223" t="s">
        <v>39</v>
      </c>
      <c r="B223" t="s">
        <v>43</v>
      </c>
      <c r="C223">
        <v>60</v>
      </c>
      <c r="D223">
        <v>68.067226890756302</v>
      </c>
      <c r="E223">
        <v>5</v>
      </c>
      <c r="F223">
        <v>1</v>
      </c>
      <c r="G223">
        <v>69</v>
      </c>
      <c r="H223">
        <v>81</v>
      </c>
      <c r="I223">
        <v>120</v>
      </c>
      <c r="J223">
        <v>120</v>
      </c>
      <c r="K223">
        <v>4.1666666666666661</v>
      </c>
      <c r="L223">
        <v>0.83333333333333337</v>
      </c>
      <c r="M223">
        <v>0.39305797101449774</v>
      </c>
      <c r="N223">
        <v>0.34014814814814476</v>
      </c>
      <c r="O223">
        <f>_xlfn.XLOOKUP(S223, AnglePowerMatching!$H:$H, AnglePowerMatching!$C:$C, "NaN")</f>
        <v>26</v>
      </c>
      <c r="P223">
        <f>_xlfn.XLOOKUP(S223, AnglePowerMatching!$H:$H, AnglePowerMatching!$D:$D, "NaN")</f>
        <v>3</v>
      </c>
      <c r="Q223" t="b">
        <f t="shared" si="7"/>
        <v>1</v>
      </c>
      <c r="R223">
        <f>VALUE(_xlfn.TEXTBEFORE(A223, {"L","R"}, , , , A223))</f>
        <v>994</v>
      </c>
      <c r="S223" t="str">
        <f t="shared" si="6"/>
        <v>99420251212</v>
      </c>
    </row>
    <row r="224" spans="1:19" x14ac:dyDescent="0.3">
      <c r="A224" t="s">
        <v>39</v>
      </c>
      <c r="B224" t="s">
        <v>44</v>
      </c>
      <c r="C224">
        <v>70.967741935483872</v>
      </c>
      <c r="D224">
        <v>62.765957446808507</v>
      </c>
      <c r="E224">
        <v>27</v>
      </c>
      <c r="F224">
        <v>26</v>
      </c>
      <c r="G224">
        <v>66</v>
      </c>
      <c r="H224">
        <v>59</v>
      </c>
      <c r="I224">
        <v>120</v>
      </c>
      <c r="J224">
        <v>120</v>
      </c>
      <c r="K224">
        <v>22.5</v>
      </c>
      <c r="L224">
        <v>21.666666666666668</v>
      </c>
      <c r="M224">
        <v>0.3830909090909152</v>
      </c>
      <c r="N224">
        <v>0.35538983050847911</v>
      </c>
      <c r="O224">
        <f>_xlfn.XLOOKUP(S224, AnglePowerMatching!$H:$H, AnglePowerMatching!$C:$C, "NaN")</f>
        <v>26</v>
      </c>
      <c r="P224">
        <f>_xlfn.XLOOKUP(S224, AnglePowerMatching!$H:$H, AnglePowerMatching!$D:$D, "NaN")</f>
        <v>5</v>
      </c>
      <c r="Q224" t="b">
        <f t="shared" si="7"/>
        <v>1</v>
      </c>
      <c r="R224">
        <f>VALUE(_xlfn.TEXTBEFORE(A224, {"L","R"}, , , , A224))</f>
        <v>994</v>
      </c>
      <c r="S224" t="str">
        <f t="shared" si="6"/>
        <v>99420251213</v>
      </c>
    </row>
    <row r="225" spans="1:19" x14ac:dyDescent="0.3">
      <c r="A225" t="s">
        <v>39</v>
      </c>
      <c r="B225" t="s">
        <v>45</v>
      </c>
      <c r="C225">
        <v>81.512605042016801</v>
      </c>
      <c r="D225">
        <v>89.915966386554629</v>
      </c>
      <c r="E225">
        <v>1</v>
      </c>
      <c r="F225">
        <v>1</v>
      </c>
      <c r="G225">
        <v>97</v>
      </c>
      <c r="H225">
        <v>107</v>
      </c>
      <c r="I225">
        <v>120</v>
      </c>
      <c r="J225">
        <v>120</v>
      </c>
      <c r="K225">
        <v>0.83333333333333337</v>
      </c>
      <c r="L225">
        <v>0.83333333333333337</v>
      </c>
      <c r="M225">
        <v>0.39161855670101564</v>
      </c>
      <c r="N225">
        <v>0.39384112149533512</v>
      </c>
      <c r="O225">
        <f>_xlfn.XLOOKUP(S225, AnglePowerMatching!$H:$H, AnglePowerMatching!$C:$C, "NaN")</f>
        <v>26</v>
      </c>
      <c r="P225">
        <f>_xlfn.XLOOKUP(S225, AnglePowerMatching!$H:$H, AnglePowerMatching!$D:$D, "NaN")</f>
        <v>10</v>
      </c>
      <c r="Q225" t="b">
        <f t="shared" si="7"/>
        <v>1</v>
      </c>
      <c r="R225">
        <f>VALUE(_xlfn.TEXTBEFORE(A225, {"L","R"}, , , , A225))</f>
        <v>994</v>
      </c>
      <c r="S225" t="str">
        <f t="shared" si="6"/>
        <v>99420251215</v>
      </c>
    </row>
    <row r="226" spans="1:19" x14ac:dyDescent="0.3">
      <c r="A226" t="s">
        <v>39</v>
      </c>
      <c r="B226" t="s">
        <v>46</v>
      </c>
      <c r="C226">
        <v>78.095238095238102</v>
      </c>
      <c r="D226">
        <v>87.735849056603783</v>
      </c>
      <c r="E226">
        <v>15</v>
      </c>
      <c r="F226">
        <v>14</v>
      </c>
      <c r="G226">
        <v>82</v>
      </c>
      <c r="H226">
        <v>93</v>
      </c>
      <c r="I226">
        <v>120</v>
      </c>
      <c r="J226">
        <v>120</v>
      </c>
      <c r="K226">
        <v>12.5</v>
      </c>
      <c r="L226">
        <v>11.666666666666666</v>
      </c>
      <c r="M226">
        <v>0.94957317073170255</v>
      </c>
      <c r="N226">
        <v>0.95915053763440883</v>
      </c>
      <c r="O226">
        <f>_xlfn.XLOOKUP(S226, AnglePowerMatching!$H:$H, AnglePowerMatching!$C:$C, "NaN")</f>
        <v>26</v>
      </c>
      <c r="P226">
        <f>_xlfn.XLOOKUP(S226, AnglePowerMatching!$H:$H, AnglePowerMatching!$D:$D, "NaN")</f>
        <v>5</v>
      </c>
      <c r="Q226" t="b">
        <f t="shared" si="7"/>
        <v>1</v>
      </c>
      <c r="R226">
        <f>VALUE(_xlfn.TEXTBEFORE(A226, {"L","R"}, , , , A226))</f>
        <v>994</v>
      </c>
      <c r="S226" t="str">
        <f t="shared" si="6"/>
        <v>99420251216</v>
      </c>
    </row>
    <row r="227" spans="1:19" x14ac:dyDescent="0.3">
      <c r="A227" t="s">
        <v>39</v>
      </c>
      <c r="B227" t="s">
        <v>48</v>
      </c>
      <c r="C227">
        <v>74.380165289256198</v>
      </c>
      <c r="D227">
        <v>71.900826446281002</v>
      </c>
      <c r="E227">
        <v>0</v>
      </c>
      <c r="F227">
        <v>0</v>
      </c>
      <c r="G227">
        <v>90</v>
      </c>
      <c r="H227">
        <v>87</v>
      </c>
      <c r="I227">
        <v>121</v>
      </c>
      <c r="J227">
        <v>121</v>
      </c>
      <c r="K227">
        <v>0</v>
      </c>
      <c r="L227">
        <v>0</v>
      </c>
      <c r="M227">
        <v>0.27885555555556824</v>
      </c>
      <c r="N227">
        <v>0.27140229885057116</v>
      </c>
      <c r="O227">
        <f>_xlfn.XLOOKUP(S227, AnglePowerMatching!$H:$H, AnglePowerMatching!$C:$C, "NaN")</f>
        <v>90</v>
      </c>
      <c r="P227">
        <f>_xlfn.XLOOKUP(S227, AnglePowerMatching!$H:$H, AnglePowerMatching!$D:$D, "NaN")</f>
        <v>10</v>
      </c>
      <c r="Q227" t="b">
        <f t="shared" si="7"/>
        <v>1</v>
      </c>
      <c r="R227">
        <f>VALUE(_xlfn.TEXTBEFORE(A227, {"L","R"}, , , , A227))</f>
        <v>994</v>
      </c>
      <c r="S227" t="str">
        <f t="shared" si="6"/>
        <v>99420251218</v>
      </c>
    </row>
    <row r="228" spans="1:19" x14ac:dyDescent="0.3">
      <c r="A228" t="s">
        <v>39</v>
      </c>
      <c r="B228" t="s">
        <v>49</v>
      </c>
      <c r="C228">
        <v>72.5</v>
      </c>
      <c r="D228">
        <v>68.333333333333329</v>
      </c>
      <c r="E228">
        <v>0</v>
      </c>
      <c r="F228">
        <v>0</v>
      </c>
      <c r="G228">
        <v>87</v>
      </c>
      <c r="H228">
        <v>82</v>
      </c>
      <c r="I228">
        <v>120</v>
      </c>
      <c r="J228">
        <v>120</v>
      </c>
      <c r="K228">
        <v>0</v>
      </c>
      <c r="L228">
        <v>0</v>
      </c>
      <c r="M228">
        <v>0.36049425287356301</v>
      </c>
      <c r="N228">
        <v>0.3518414634146349</v>
      </c>
      <c r="O228">
        <f>_xlfn.XLOOKUP(S228, AnglePowerMatching!$H:$H, AnglePowerMatching!$C:$C, "NaN")</f>
        <v>90</v>
      </c>
      <c r="P228">
        <f>_xlfn.XLOOKUP(S228, AnglePowerMatching!$H:$H, AnglePowerMatching!$D:$D, "NaN")</f>
        <v>5</v>
      </c>
      <c r="Q228" t="b">
        <f t="shared" si="7"/>
        <v>1</v>
      </c>
      <c r="R228">
        <f>VALUE(_xlfn.TEXTBEFORE(A228, {"L","R"}, , , , A228))</f>
        <v>994</v>
      </c>
      <c r="S228" t="str">
        <f t="shared" si="6"/>
        <v>99420251230</v>
      </c>
    </row>
    <row r="229" spans="1:19" x14ac:dyDescent="0.3">
      <c r="A229" t="s">
        <v>39</v>
      </c>
      <c r="B229" t="s">
        <v>132</v>
      </c>
      <c r="C229">
        <v>56.896551724137936</v>
      </c>
      <c r="D229">
        <v>53.333333333333336</v>
      </c>
      <c r="E229">
        <v>4</v>
      </c>
      <c r="F229">
        <v>0</v>
      </c>
      <c r="G229">
        <v>66</v>
      </c>
      <c r="H229">
        <v>64</v>
      </c>
      <c r="I229">
        <v>120</v>
      </c>
      <c r="J229">
        <v>120</v>
      </c>
      <c r="K229">
        <v>3.3333333333333335</v>
      </c>
      <c r="L229">
        <v>0</v>
      </c>
      <c r="M229">
        <v>0.26430303030302776</v>
      </c>
      <c r="N229">
        <v>0.24053124999999453</v>
      </c>
      <c r="O229">
        <f>_xlfn.XLOOKUP(S229, AnglePowerMatching!$H:$H, AnglePowerMatching!$C:$C, "NaN")</f>
        <v>66</v>
      </c>
      <c r="P229">
        <f>_xlfn.XLOOKUP(S229, AnglePowerMatching!$H:$H, AnglePowerMatching!$D:$D, "NaN")</f>
        <v>3</v>
      </c>
      <c r="Q229" t="b">
        <f t="shared" si="7"/>
        <v>1</v>
      </c>
      <c r="R229">
        <f>VALUE(_xlfn.TEXTBEFORE(A229, {"L","R"}, , , , A229))</f>
        <v>994</v>
      </c>
      <c r="S229" t="str">
        <f t="shared" si="6"/>
        <v>99420260102</v>
      </c>
    </row>
    <row r="230" spans="1:19" x14ac:dyDescent="0.3">
      <c r="A230" t="s">
        <v>3</v>
      </c>
      <c r="B230" t="s">
        <v>143</v>
      </c>
      <c r="C230">
        <v>59.482758620689658</v>
      </c>
      <c r="D230">
        <v>60.176991150442483</v>
      </c>
      <c r="E230">
        <v>4</v>
      </c>
      <c r="F230">
        <v>7</v>
      </c>
      <c r="G230">
        <v>69</v>
      </c>
      <c r="H230">
        <v>68</v>
      </c>
      <c r="I230">
        <v>120</v>
      </c>
      <c r="J230">
        <v>120</v>
      </c>
      <c r="K230">
        <v>3.3333333333333335</v>
      </c>
      <c r="L230">
        <v>5.833333333333333</v>
      </c>
      <c r="M230">
        <v>0.31857971014492159</v>
      </c>
      <c r="N230">
        <v>0.32642647058824137</v>
      </c>
      <c r="O230">
        <f>_xlfn.XLOOKUP(S230, AnglePowerMatching!$H:$H, AnglePowerMatching!$C:$C, "NaN")</f>
        <v>66</v>
      </c>
      <c r="P230">
        <f>_xlfn.XLOOKUP(S230, AnglePowerMatching!$H:$H, AnglePowerMatching!$D:$D, "NaN")</f>
        <v>3</v>
      </c>
      <c r="Q230" t="b">
        <f t="shared" si="7"/>
        <v>1</v>
      </c>
      <c r="R230">
        <f>VALUE(_xlfn.TEXTBEFORE(A230, {"L","R"}, , , , A230))</f>
        <v>995</v>
      </c>
      <c r="S230" t="str">
        <f t="shared" si="6"/>
        <v>99520251119</v>
      </c>
    </row>
    <row r="231" spans="1:19" x14ac:dyDescent="0.3">
      <c r="A231" t="s">
        <v>3</v>
      </c>
      <c r="B231" t="s">
        <v>152</v>
      </c>
      <c r="C231">
        <v>70.085470085470078</v>
      </c>
      <c r="D231">
        <v>74.166666666666671</v>
      </c>
      <c r="E231">
        <v>3</v>
      </c>
      <c r="F231">
        <v>0</v>
      </c>
      <c r="G231">
        <v>82</v>
      </c>
      <c r="H231">
        <v>89</v>
      </c>
      <c r="I231">
        <v>120</v>
      </c>
      <c r="J231">
        <v>120</v>
      </c>
      <c r="K231">
        <v>2.5</v>
      </c>
      <c r="L231">
        <v>0</v>
      </c>
      <c r="M231">
        <v>0.33497560975609542</v>
      </c>
      <c r="N231">
        <v>0.35759550561798775</v>
      </c>
      <c r="O231">
        <f>_xlfn.XLOOKUP(S231, AnglePowerMatching!$H:$H, AnglePowerMatching!$C:$C, "NaN")</f>
        <v>66</v>
      </c>
      <c r="P231">
        <f>_xlfn.XLOOKUP(S231, AnglePowerMatching!$H:$H, AnglePowerMatching!$D:$D, "NaN")</f>
        <v>5</v>
      </c>
      <c r="Q231" t="b">
        <f t="shared" si="7"/>
        <v>1</v>
      </c>
      <c r="R231">
        <f>VALUE(_xlfn.TEXTBEFORE(A231, {"L","R"}, , , , A231))</f>
        <v>995</v>
      </c>
      <c r="S231" t="str">
        <f t="shared" si="6"/>
        <v>99520251120</v>
      </c>
    </row>
    <row r="232" spans="1:19" x14ac:dyDescent="0.3">
      <c r="A232" t="s">
        <v>3</v>
      </c>
      <c r="B232" t="s">
        <v>121</v>
      </c>
      <c r="C232">
        <v>77.570093457943926</v>
      </c>
      <c r="D232">
        <v>74.285714285714292</v>
      </c>
      <c r="E232">
        <v>13</v>
      </c>
      <c r="F232">
        <v>15</v>
      </c>
      <c r="G232">
        <v>83</v>
      </c>
      <c r="H232">
        <v>78</v>
      </c>
      <c r="I232">
        <v>120</v>
      </c>
      <c r="J232">
        <v>120</v>
      </c>
      <c r="K232">
        <v>10.833333333333334</v>
      </c>
      <c r="L232">
        <v>12.5</v>
      </c>
      <c r="M232">
        <v>0.30891566265059439</v>
      </c>
      <c r="N232">
        <v>0.29430769230768655</v>
      </c>
      <c r="O232">
        <f>_xlfn.XLOOKUP(S232, AnglePowerMatching!$H:$H, AnglePowerMatching!$C:$C, "NaN")</f>
        <v>66</v>
      </c>
      <c r="P232">
        <f>_xlfn.XLOOKUP(S232, AnglePowerMatching!$H:$H, AnglePowerMatching!$D:$D, "NaN")</f>
        <v>10</v>
      </c>
      <c r="Q232" t="b">
        <f t="shared" si="7"/>
        <v>1</v>
      </c>
      <c r="R232">
        <f>VALUE(_xlfn.TEXTBEFORE(A232, {"L","R"}, , , , A232))</f>
        <v>995</v>
      </c>
      <c r="S232" t="str">
        <f t="shared" si="6"/>
        <v>99520251121</v>
      </c>
    </row>
    <row r="233" spans="1:19" x14ac:dyDescent="0.3">
      <c r="A233" t="s">
        <v>3</v>
      </c>
      <c r="B233" t="s">
        <v>40</v>
      </c>
      <c r="C233">
        <v>91.666666666666657</v>
      </c>
      <c r="D233">
        <v>86.666666666666671</v>
      </c>
      <c r="E233">
        <v>12</v>
      </c>
      <c r="F233">
        <v>15</v>
      </c>
      <c r="G233">
        <v>99</v>
      </c>
      <c r="H233">
        <v>91</v>
      </c>
      <c r="I233">
        <v>120</v>
      </c>
      <c r="J233">
        <v>120</v>
      </c>
      <c r="K233">
        <v>10</v>
      </c>
      <c r="L233">
        <v>12.5</v>
      </c>
      <c r="M233">
        <v>0.55823232323232785</v>
      </c>
      <c r="N233">
        <v>0.51458241758242251</v>
      </c>
      <c r="O233">
        <f>_xlfn.XLOOKUP(S233, AnglePowerMatching!$H:$H, AnglePowerMatching!$C:$C, "NaN")</f>
        <v>66</v>
      </c>
      <c r="P233">
        <f>_xlfn.XLOOKUP(S233, AnglePowerMatching!$H:$H, AnglePowerMatching!$D:$D, "NaN")</f>
        <v>3</v>
      </c>
      <c r="Q233" t="b">
        <f t="shared" si="7"/>
        <v>1</v>
      </c>
      <c r="R233">
        <f>VALUE(_xlfn.TEXTBEFORE(A233, {"L","R"}, , , , A233))</f>
        <v>995</v>
      </c>
      <c r="S233" t="str">
        <f t="shared" si="6"/>
        <v>99520251122</v>
      </c>
    </row>
    <row r="234" spans="1:19" x14ac:dyDescent="0.3">
      <c r="A234" t="s">
        <v>3</v>
      </c>
      <c r="B234" t="s">
        <v>41</v>
      </c>
      <c r="C234">
        <v>80.530973451327441</v>
      </c>
      <c r="D234">
        <v>82.90598290598291</v>
      </c>
      <c r="E234">
        <v>7</v>
      </c>
      <c r="F234">
        <v>3</v>
      </c>
      <c r="G234">
        <v>91</v>
      </c>
      <c r="H234">
        <v>97</v>
      </c>
      <c r="I234">
        <v>120</v>
      </c>
      <c r="J234">
        <v>120</v>
      </c>
      <c r="K234">
        <v>5.833333333333333</v>
      </c>
      <c r="L234">
        <v>2.5</v>
      </c>
      <c r="M234">
        <v>0.3667802197802183</v>
      </c>
      <c r="N234">
        <v>0.32207216494845442</v>
      </c>
      <c r="O234">
        <f>_xlfn.XLOOKUP(S234, AnglePowerMatching!$H:$H, AnglePowerMatching!$C:$C, "NaN")</f>
        <v>66</v>
      </c>
      <c r="P234">
        <f>_xlfn.XLOOKUP(S234, AnglePowerMatching!$H:$H, AnglePowerMatching!$D:$D, "NaN")</f>
        <v>10</v>
      </c>
      <c r="Q234" t="b">
        <f t="shared" si="7"/>
        <v>1</v>
      </c>
      <c r="R234">
        <f>VALUE(_xlfn.TEXTBEFORE(A234, {"L","R"}, , , , A234))</f>
        <v>995</v>
      </c>
      <c r="S234" t="str">
        <f t="shared" si="6"/>
        <v>99520251123</v>
      </c>
    </row>
    <row r="235" spans="1:19" x14ac:dyDescent="0.3">
      <c r="A235" t="s">
        <v>3</v>
      </c>
      <c r="B235" t="s">
        <v>43</v>
      </c>
      <c r="C235">
        <v>76</v>
      </c>
      <c r="D235">
        <v>77.884615384615387</v>
      </c>
      <c r="E235">
        <v>20</v>
      </c>
      <c r="F235">
        <v>16</v>
      </c>
      <c r="G235">
        <v>76</v>
      </c>
      <c r="H235">
        <v>81</v>
      </c>
      <c r="I235">
        <v>120</v>
      </c>
      <c r="J235">
        <v>120</v>
      </c>
      <c r="K235">
        <v>16.666666666666664</v>
      </c>
      <c r="L235">
        <v>13.333333333333334</v>
      </c>
      <c r="M235">
        <v>0.64717105263158314</v>
      </c>
      <c r="N235">
        <v>0.65953086419754281</v>
      </c>
      <c r="O235">
        <f>_xlfn.XLOOKUP(S235, AnglePowerMatching!$H:$H, AnglePowerMatching!$C:$C, "NaN")</f>
        <v>90</v>
      </c>
      <c r="P235">
        <f>_xlfn.XLOOKUP(S235, AnglePowerMatching!$H:$H, AnglePowerMatching!$D:$D, "NaN")</f>
        <v>3</v>
      </c>
      <c r="Q235" t="b">
        <f t="shared" si="7"/>
        <v>1</v>
      </c>
      <c r="R235">
        <f>VALUE(_xlfn.TEXTBEFORE(A235, {"L","R"}, , , , A235))</f>
        <v>995</v>
      </c>
      <c r="S235" t="str">
        <f t="shared" si="6"/>
        <v>99520251212</v>
      </c>
    </row>
    <row r="236" spans="1:19" x14ac:dyDescent="0.3">
      <c r="A236" t="s">
        <v>3</v>
      </c>
      <c r="B236" t="s">
        <v>44</v>
      </c>
      <c r="C236">
        <v>57.777777777777771</v>
      </c>
      <c r="D236">
        <v>56.25</v>
      </c>
      <c r="E236">
        <v>30</v>
      </c>
      <c r="F236">
        <v>24</v>
      </c>
      <c r="G236">
        <v>52</v>
      </c>
      <c r="H236">
        <v>54</v>
      </c>
      <c r="I236">
        <v>120</v>
      </c>
      <c r="J236">
        <v>120</v>
      </c>
      <c r="K236">
        <v>25</v>
      </c>
      <c r="L236">
        <v>20</v>
      </c>
      <c r="M236">
        <v>0.29417307692305505</v>
      </c>
      <c r="N236">
        <v>0.31442592592592933</v>
      </c>
      <c r="O236">
        <f>_xlfn.XLOOKUP(S236, AnglePowerMatching!$H:$H, AnglePowerMatching!$C:$C, "NaN")</f>
        <v>90</v>
      </c>
      <c r="P236">
        <f>_xlfn.XLOOKUP(S236, AnglePowerMatching!$H:$H, AnglePowerMatching!$D:$D, "NaN")</f>
        <v>5</v>
      </c>
      <c r="Q236" t="b">
        <f t="shared" si="7"/>
        <v>1</v>
      </c>
      <c r="R236">
        <f>VALUE(_xlfn.TEXTBEFORE(A236, {"L","R"}, , , , A236))</f>
        <v>995</v>
      </c>
      <c r="S236" t="str">
        <f t="shared" si="6"/>
        <v>99520251213</v>
      </c>
    </row>
    <row r="237" spans="1:19" x14ac:dyDescent="0.3">
      <c r="A237" t="s">
        <v>3</v>
      </c>
      <c r="B237" t="s">
        <v>46</v>
      </c>
      <c r="C237">
        <v>86.666666666666671</v>
      </c>
      <c r="D237">
        <v>84.033613445378151</v>
      </c>
      <c r="E237">
        <v>0</v>
      </c>
      <c r="F237">
        <v>1</v>
      </c>
      <c r="G237">
        <v>104</v>
      </c>
      <c r="H237">
        <v>100</v>
      </c>
      <c r="I237">
        <v>120</v>
      </c>
      <c r="J237">
        <v>120</v>
      </c>
      <c r="K237">
        <v>0</v>
      </c>
      <c r="L237">
        <v>0.83333333333333337</v>
      </c>
      <c r="M237">
        <v>0.39332692307692751</v>
      </c>
      <c r="N237">
        <v>0.39480000000000304</v>
      </c>
      <c r="O237">
        <f>_xlfn.XLOOKUP(S237, AnglePowerMatching!$H:$H, AnglePowerMatching!$C:$C, "NaN")</f>
        <v>90</v>
      </c>
      <c r="P237">
        <f>_xlfn.XLOOKUP(S237, AnglePowerMatching!$H:$H, AnglePowerMatching!$D:$D, "NaN")</f>
        <v>5</v>
      </c>
      <c r="Q237" t="b">
        <f t="shared" si="7"/>
        <v>1</v>
      </c>
      <c r="R237">
        <f>VALUE(_xlfn.TEXTBEFORE(A237, {"L","R"}, , , , A237))</f>
        <v>995</v>
      </c>
      <c r="S237" t="str">
        <f t="shared" si="6"/>
        <v>99520251216</v>
      </c>
    </row>
    <row r="238" spans="1:19" x14ac:dyDescent="0.3">
      <c r="A238" t="s">
        <v>3</v>
      </c>
      <c r="B238" t="s">
        <v>48</v>
      </c>
      <c r="C238">
        <v>56.999999999999993</v>
      </c>
      <c r="D238">
        <v>52.941176470588239</v>
      </c>
      <c r="E238">
        <v>21</v>
      </c>
      <c r="F238">
        <v>19</v>
      </c>
      <c r="G238">
        <v>57</v>
      </c>
      <c r="H238">
        <v>54</v>
      </c>
      <c r="I238">
        <v>121</v>
      </c>
      <c r="J238">
        <v>121</v>
      </c>
      <c r="K238">
        <v>17.355371900826448</v>
      </c>
      <c r="L238">
        <v>15.702479338842975</v>
      </c>
      <c r="M238">
        <v>0.23249122807018233</v>
      </c>
      <c r="N238">
        <v>0.27966666666664958</v>
      </c>
      <c r="O238">
        <f>_xlfn.XLOOKUP(S238, AnglePowerMatching!$H:$H, AnglePowerMatching!$C:$C, "NaN")</f>
        <v>90</v>
      </c>
      <c r="P238">
        <f>_xlfn.XLOOKUP(S238, AnglePowerMatching!$H:$H, AnglePowerMatching!$D:$D, "NaN")</f>
        <v>10</v>
      </c>
      <c r="Q238" t="b">
        <f t="shared" si="7"/>
        <v>1</v>
      </c>
      <c r="R238">
        <f>VALUE(_xlfn.TEXTBEFORE(A238, {"L","R"}, , , , A238))</f>
        <v>995</v>
      </c>
      <c r="S238" t="str">
        <f t="shared" si="6"/>
        <v>99520251218</v>
      </c>
    </row>
    <row r="239" spans="1:19" x14ac:dyDescent="0.3">
      <c r="A239" t="s">
        <v>3</v>
      </c>
      <c r="B239" t="s">
        <v>86</v>
      </c>
      <c r="C239">
        <v>58.928571428571431</v>
      </c>
      <c r="D239">
        <v>61.739130434782609</v>
      </c>
      <c r="E239">
        <v>8</v>
      </c>
      <c r="F239">
        <v>5</v>
      </c>
      <c r="G239">
        <v>66</v>
      </c>
      <c r="H239">
        <v>71</v>
      </c>
      <c r="I239">
        <v>120</v>
      </c>
      <c r="J239">
        <v>120</v>
      </c>
      <c r="K239">
        <v>6.666666666666667</v>
      </c>
      <c r="L239">
        <v>4.1666666666666661</v>
      </c>
      <c r="M239">
        <v>0.30384848484847704</v>
      </c>
      <c r="N239">
        <v>0.33461971830985221</v>
      </c>
      <c r="O239">
        <f>_xlfn.XLOOKUP(S239, AnglePowerMatching!$H:$H, AnglePowerMatching!$C:$C, "NaN")</f>
        <v>35</v>
      </c>
      <c r="P239">
        <f>_xlfn.XLOOKUP(S239, AnglePowerMatching!$H:$H, AnglePowerMatching!$D:$D, "NaN")</f>
        <v>3</v>
      </c>
      <c r="Q239" t="b">
        <f t="shared" si="7"/>
        <v>1</v>
      </c>
      <c r="R239">
        <f>VALUE(_xlfn.TEXTBEFORE(A239, {"L","R"}, , , , A239))</f>
        <v>995</v>
      </c>
      <c r="S239" t="str">
        <f t="shared" si="6"/>
        <v>99520260114</v>
      </c>
    </row>
    <row r="240" spans="1:19" x14ac:dyDescent="0.3">
      <c r="A240" t="s">
        <v>3</v>
      </c>
      <c r="B240" t="s">
        <v>7</v>
      </c>
      <c r="C240">
        <v>54.621848739495796</v>
      </c>
      <c r="D240">
        <v>57.142857142857139</v>
      </c>
      <c r="E240">
        <v>1</v>
      </c>
      <c r="F240">
        <v>1</v>
      </c>
      <c r="G240">
        <v>65</v>
      </c>
      <c r="H240">
        <v>68</v>
      </c>
      <c r="I240">
        <v>120</v>
      </c>
      <c r="J240">
        <v>120</v>
      </c>
      <c r="K240">
        <v>0.83333333333333337</v>
      </c>
      <c r="L240">
        <v>0.83333333333333337</v>
      </c>
      <c r="M240">
        <v>0.22903076923074922</v>
      </c>
      <c r="N240">
        <v>0.24427941176468812</v>
      </c>
      <c r="O240">
        <f>_xlfn.XLOOKUP(S240, AnglePowerMatching!$H:$H, AnglePowerMatching!$C:$C, "NaN")</f>
        <v>35</v>
      </c>
      <c r="P240">
        <f>_xlfn.XLOOKUP(S240, AnglePowerMatching!$H:$H, AnglePowerMatching!$D:$D, "NaN")</f>
        <v>5</v>
      </c>
      <c r="Q240" t="b">
        <f t="shared" si="7"/>
        <v>1</v>
      </c>
      <c r="R240">
        <f>VALUE(_xlfn.TEXTBEFORE(A240, {"L","R"}, , , , A240))</f>
        <v>995</v>
      </c>
      <c r="S240" t="str">
        <f t="shared" si="6"/>
        <v>99520260115</v>
      </c>
    </row>
    <row r="241" spans="1:19" x14ac:dyDescent="0.3">
      <c r="A241" t="s">
        <v>3</v>
      </c>
      <c r="B241" t="s">
        <v>8</v>
      </c>
      <c r="C241">
        <v>59.482758620689658</v>
      </c>
      <c r="D241">
        <v>55.963302752293572</v>
      </c>
      <c r="E241">
        <v>4</v>
      </c>
      <c r="F241">
        <v>11</v>
      </c>
      <c r="G241">
        <v>69</v>
      </c>
      <c r="H241">
        <v>61</v>
      </c>
      <c r="I241">
        <v>120</v>
      </c>
      <c r="J241">
        <v>120</v>
      </c>
      <c r="K241">
        <v>3.3333333333333335</v>
      </c>
      <c r="L241">
        <v>9.1666666666666661</v>
      </c>
      <c r="M241">
        <v>0.31008695652172802</v>
      </c>
      <c r="N241">
        <v>0.25680327868851538</v>
      </c>
      <c r="O241">
        <f>_xlfn.XLOOKUP(S241, AnglePowerMatching!$H:$H, AnglePowerMatching!$C:$C, "NaN")</f>
        <v>35</v>
      </c>
      <c r="P241">
        <f>_xlfn.XLOOKUP(S241, AnglePowerMatching!$H:$H, AnglePowerMatching!$D:$D, "NaN")</f>
        <v>10</v>
      </c>
      <c r="Q241" t="b">
        <f t="shared" si="7"/>
        <v>1</v>
      </c>
      <c r="R241">
        <f>VALUE(_xlfn.TEXTBEFORE(A241, {"L","R"}, , , , A241))</f>
        <v>995</v>
      </c>
      <c r="S241" t="str">
        <f t="shared" si="6"/>
        <v>99520260116</v>
      </c>
    </row>
    <row r="242" spans="1:19" x14ac:dyDescent="0.3">
      <c r="A242" t="s">
        <v>3</v>
      </c>
      <c r="B242" t="s">
        <v>9</v>
      </c>
      <c r="C242">
        <v>62.711864406779661</v>
      </c>
      <c r="D242">
        <v>68.376068376068375</v>
      </c>
      <c r="E242">
        <v>2</v>
      </c>
      <c r="F242">
        <v>3</v>
      </c>
      <c r="G242">
        <v>74</v>
      </c>
      <c r="H242">
        <v>80</v>
      </c>
      <c r="I242">
        <v>120</v>
      </c>
      <c r="J242">
        <v>120</v>
      </c>
      <c r="K242">
        <v>1.6666666666666667</v>
      </c>
      <c r="L242">
        <v>2.5</v>
      </c>
      <c r="M242">
        <v>0.41372972972972943</v>
      </c>
      <c r="N242">
        <v>0.439787499999999</v>
      </c>
      <c r="O242">
        <f>_xlfn.XLOOKUP(S242, AnglePowerMatching!$H:$H, AnglePowerMatching!$C:$C, "NaN")</f>
        <v>35</v>
      </c>
      <c r="P242">
        <f>_xlfn.XLOOKUP(S242, AnglePowerMatching!$H:$H, AnglePowerMatching!$D:$D, "NaN")</f>
        <v>10</v>
      </c>
      <c r="Q242" t="b">
        <f t="shared" si="7"/>
        <v>1</v>
      </c>
      <c r="R242">
        <f>VALUE(_xlfn.TEXTBEFORE(A242, {"L","R"}, , , , A242))</f>
        <v>995</v>
      </c>
      <c r="S242" t="str">
        <f t="shared" si="6"/>
        <v>99520260117</v>
      </c>
    </row>
    <row r="243" spans="1:19" x14ac:dyDescent="0.3">
      <c r="A243" t="s">
        <v>3</v>
      </c>
      <c r="B243" t="s">
        <v>72</v>
      </c>
      <c r="C243">
        <v>52.777777777777779</v>
      </c>
      <c r="D243">
        <v>49.295774647887328</v>
      </c>
      <c r="E243">
        <v>55</v>
      </c>
      <c r="F243">
        <v>56</v>
      </c>
      <c r="G243">
        <v>38</v>
      </c>
      <c r="H243">
        <v>35</v>
      </c>
      <c r="I243">
        <v>127</v>
      </c>
      <c r="J243">
        <v>127</v>
      </c>
      <c r="K243">
        <v>43.30708661417323</v>
      </c>
      <c r="L243">
        <v>44.094488188976378</v>
      </c>
      <c r="M243">
        <v>0.54257894736841372</v>
      </c>
      <c r="N243">
        <v>0.46339999999999171</v>
      </c>
      <c r="O243">
        <f>_xlfn.XLOOKUP(S243, AnglePowerMatching!$H:$H, AnglePowerMatching!$C:$C, "NaN")</f>
        <v>35</v>
      </c>
      <c r="P243">
        <f>_xlfn.XLOOKUP(S243, AnglePowerMatching!$H:$H, AnglePowerMatching!$D:$D, "NaN")</f>
        <v>3</v>
      </c>
      <c r="Q243" t="b">
        <f t="shared" si="7"/>
        <v>1</v>
      </c>
      <c r="R243">
        <f>VALUE(_xlfn.TEXTBEFORE(A243, {"L","R"}, , , , A243))</f>
        <v>995</v>
      </c>
      <c r="S243" t="str">
        <f t="shared" si="6"/>
        <v>99520260202</v>
      </c>
    </row>
    <row r="244" spans="1:19" x14ac:dyDescent="0.3">
      <c r="A244" t="s">
        <v>3</v>
      </c>
      <c r="B244" t="s">
        <v>73</v>
      </c>
      <c r="C244">
        <v>85.714285714285708</v>
      </c>
      <c r="D244">
        <v>82.022471910112358</v>
      </c>
      <c r="E244">
        <v>36</v>
      </c>
      <c r="F244">
        <v>31</v>
      </c>
      <c r="G244">
        <v>72</v>
      </c>
      <c r="H244">
        <v>73</v>
      </c>
      <c r="I244">
        <v>120</v>
      </c>
      <c r="J244">
        <v>120</v>
      </c>
      <c r="K244">
        <v>30</v>
      </c>
      <c r="L244">
        <v>25.833333333333336</v>
      </c>
      <c r="M244">
        <v>0.88188888888887951</v>
      </c>
      <c r="N244">
        <v>0.90300000000001512</v>
      </c>
      <c r="O244">
        <f>_xlfn.XLOOKUP(S244, AnglePowerMatching!$H:$H, AnglePowerMatching!$C:$C, "NaN")</f>
        <v>35</v>
      </c>
      <c r="P244">
        <f>_xlfn.XLOOKUP(S244, AnglePowerMatching!$H:$H, AnglePowerMatching!$D:$D, "NaN")</f>
        <v>5</v>
      </c>
      <c r="Q244" t="b">
        <f t="shared" si="7"/>
        <v>1</v>
      </c>
      <c r="R244">
        <f>VALUE(_xlfn.TEXTBEFORE(A244, {"L","R"}, , , , A244))</f>
        <v>995</v>
      </c>
      <c r="S244" t="str">
        <f t="shared" si="6"/>
        <v>99520260203</v>
      </c>
    </row>
    <row r="245" spans="1:19" x14ac:dyDescent="0.3">
      <c r="A245" t="s">
        <v>3</v>
      </c>
      <c r="B245" t="s">
        <v>74</v>
      </c>
      <c r="C245">
        <v>88.495575221238937</v>
      </c>
      <c r="D245">
        <v>81.132075471698116</v>
      </c>
      <c r="E245">
        <v>7</v>
      </c>
      <c r="F245">
        <v>14</v>
      </c>
      <c r="G245">
        <v>100</v>
      </c>
      <c r="H245">
        <v>86</v>
      </c>
      <c r="I245">
        <v>120</v>
      </c>
      <c r="J245">
        <v>120</v>
      </c>
      <c r="K245">
        <v>5.833333333333333</v>
      </c>
      <c r="L245">
        <v>11.666666666666666</v>
      </c>
      <c r="M245">
        <v>0.52455999999999325</v>
      </c>
      <c r="N245">
        <v>0.56606976744187598</v>
      </c>
      <c r="O245">
        <f>_xlfn.XLOOKUP(S245, AnglePowerMatching!$H:$H, AnglePowerMatching!$C:$C, "NaN")</f>
        <v>35</v>
      </c>
      <c r="P245">
        <f>_xlfn.XLOOKUP(S245, AnglePowerMatching!$H:$H, AnglePowerMatching!$D:$D, "NaN")</f>
        <v>10</v>
      </c>
      <c r="Q245" t="b">
        <f t="shared" si="7"/>
        <v>1</v>
      </c>
      <c r="R245">
        <f>VALUE(_xlfn.TEXTBEFORE(A245, {"L","R"}, , , , A245))</f>
        <v>995</v>
      </c>
      <c r="S245" t="str">
        <f t="shared" si="6"/>
        <v>99520260204</v>
      </c>
    </row>
    <row r="246" spans="1:19" x14ac:dyDescent="0.3">
      <c r="A246" t="s">
        <v>3</v>
      </c>
      <c r="B246" t="s">
        <v>75</v>
      </c>
      <c r="C246">
        <v>58.333333333333336</v>
      </c>
      <c r="D246">
        <v>55.813953488372093</v>
      </c>
      <c r="E246">
        <v>72</v>
      </c>
      <c r="F246">
        <v>77</v>
      </c>
      <c r="G246">
        <v>28</v>
      </c>
      <c r="H246">
        <v>24</v>
      </c>
      <c r="I246">
        <v>120</v>
      </c>
      <c r="J246">
        <v>120</v>
      </c>
      <c r="K246">
        <v>60</v>
      </c>
      <c r="L246">
        <v>64.166666666666671</v>
      </c>
      <c r="M246">
        <v>0.37521428571428167</v>
      </c>
      <c r="N246">
        <v>0.30537499999999101</v>
      </c>
      <c r="O246">
        <f>_xlfn.XLOOKUP(S246, AnglePowerMatching!$H:$H, AnglePowerMatching!$C:$C, "NaN")</f>
        <v>35</v>
      </c>
      <c r="P246">
        <f>_xlfn.XLOOKUP(S246, AnglePowerMatching!$H:$H, AnglePowerMatching!$D:$D, "NaN")</f>
        <v>10</v>
      </c>
      <c r="Q246" t="b">
        <f t="shared" si="7"/>
        <v>1</v>
      </c>
      <c r="R246">
        <f>VALUE(_xlfn.TEXTBEFORE(A246, {"L","R"}, , , , A246))</f>
        <v>995</v>
      </c>
      <c r="S246" t="str">
        <f t="shared" si="6"/>
        <v>99520260205</v>
      </c>
    </row>
    <row r="247" spans="1:19" x14ac:dyDescent="0.3">
      <c r="A247">
        <v>900</v>
      </c>
      <c r="B247" t="s">
        <v>75</v>
      </c>
      <c r="O247">
        <f>_xlfn.XLOOKUP(S247, AnglePowerMatching!$H:$H, AnglePowerMatching!$C:$C, "NaN")</f>
        <v>49000</v>
      </c>
      <c r="P247">
        <f>_xlfn.XLOOKUP(S247, AnglePowerMatching!$H:$H, AnglePowerMatching!$D:$D, "NaN")</f>
        <v>1000</v>
      </c>
      <c r="Q247" t="b">
        <f t="shared" si="7"/>
        <v>0</v>
      </c>
      <c r="R247">
        <f>VALUE(_xlfn.TEXTBEFORE(A247, {"L","R"}, , , , A247))</f>
        <v>900</v>
      </c>
      <c r="S247" t="str">
        <f t="shared" ref="S247" si="8">R247 &amp; TEXT(B247, "yyyymmdd")</f>
        <v>90020260205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8C19-DA91-4CF9-A7B1-FEAEA4F6BAB2}">
  <dimension ref="A1:K202"/>
  <sheetViews>
    <sheetView zoomScale="80" workbookViewId="0">
      <selection activeCell="A203" sqref="A203"/>
    </sheetView>
  </sheetViews>
  <sheetFormatPr defaultRowHeight="14.4" x14ac:dyDescent="0.3"/>
  <cols>
    <col min="2" max="2" width="10.5546875" bestFit="1" customWidth="1"/>
  </cols>
  <sheetData>
    <row r="1" spans="1:11" x14ac:dyDescent="0.3">
      <c r="A1" t="s">
        <v>0</v>
      </c>
      <c r="B1" t="s">
        <v>6</v>
      </c>
      <c r="C1" t="s">
        <v>4</v>
      </c>
      <c r="D1" t="s">
        <v>5</v>
      </c>
      <c r="G1" t="s">
        <v>134</v>
      </c>
      <c r="H1" t="s">
        <v>133</v>
      </c>
      <c r="K1" t="s">
        <v>136</v>
      </c>
    </row>
    <row r="2" spans="1:11" x14ac:dyDescent="0.3">
      <c r="A2" t="s">
        <v>22</v>
      </c>
      <c r="B2" s="1">
        <v>45983</v>
      </c>
      <c r="C2">
        <v>66</v>
      </c>
      <c r="D2">
        <v>3</v>
      </c>
      <c r="G2">
        <f>VALUE(_xlfn.TEXTBEFORE(A2, {"L","R"}, , , , A2))</f>
        <v>1029</v>
      </c>
      <c r="H2" t="str">
        <f>LEFT(A2, LEN(A2)-1) &amp; TEXT(B2, "yyyymmdd")</f>
        <v>102920251122</v>
      </c>
      <c r="K2" t="s">
        <v>137</v>
      </c>
    </row>
    <row r="3" spans="1:11" x14ac:dyDescent="0.3">
      <c r="A3" t="s">
        <v>22</v>
      </c>
      <c r="B3" s="1">
        <v>45984</v>
      </c>
      <c r="C3">
        <v>66</v>
      </c>
      <c r="D3">
        <v>5</v>
      </c>
      <c r="G3">
        <f>VALUE(_xlfn.TEXTBEFORE(A3, {"L","R"}, , , , A3))</f>
        <v>1029</v>
      </c>
      <c r="H3" t="str">
        <f t="shared" ref="H3:H66" si="0">LEFT(A3, LEN(A3)-1) &amp; TEXT(B3, "yyyymmdd")</f>
        <v>102920251123</v>
      </c>
      <c r="K3" t="s">
        <v>138</v>
      </c>
    </row>
    <row r="4" spans="1:11" x14ac:dyDescent="0.3">
      <c r="A4" t="s">
        <v>22</v>
      </c>
      <c r="B4" s="1">
        <v>45985</v>
      </c>
      <c r="C4">
        <v>66</v>
      </c>
      <c r="D4">
        <v>10</v>
      </c>
      <c r="G4">
        <f>VALUE(_xlfn.TEXTBEFORE(A4, {"L","R"}, , , , A4))</f>
        <v>1029</v>
      </c>
      <c r="H4" t="str">
        <f t="shared" si="0"/>
        <v>102920251124</v>
      </c>
    </row>
    <row r="5" spans="1:11" x14ac:dyDescent="0.3">
      <c r="A5" t="s">
        <v>22</v>
      </c>
      <c r="B5" s="1">
        <v>46003</v>
      </c>
      <c r="C5">
        <v>90</v>
      </c>
      <c r="D5">
        <v>3</v>
      </c>
      <c r="G5">
        <f>VALUE(_xlfn.TEXTBEFORE(A5, {"L","R"}, , , , A5))</f>
        <v>1029</v>
      </c>
      <c r="H5" t="str">
        <f t="shared" si="0"/>
        <v>102920251212</v>
      </c>
      <c r="K5" t="s">
        <v>135</v>
      </c>
    </row>
    <row r="6" spans="1:11" x14ac:dyDescent="0.3">
      <c r="A6" t="s">
        <v>22</v>
      </c>
      <c r="B6" s="1">
        <v>46004</v>
      </c>
      <c r="C6">
        <v>90</v>
      </c>
      <c r="D6">
        <v>5</v>
      </c>
      <c r="G6">
        <f>VALUE(_xlfn.TEXTBEFORE(A6, {"L","R"}, , , , A6))</f>
        <v>1029</v>
      </c>
      <c r="H6" t="str">
        <f t="shared" si="0"/>
        <v>102920251213</v>
      </c>
      <c r="K6" t="s">
        <v>154</v>
      </c>
    </row>
    <row r="7" spans="1:11" x14ac:dyDescent="0.3">
      <c r="A7" t="s">
        <v>22</v>
      </c>
      <c r="B7" s="1">
        <v>46006</v>
      </c>
      <c r="C7">
        <v>90</v>
      </c>
      <c r="D7">
        <v>10</v>
      </c>
      <c r="G7">
        <f>VALUE(_xlfn.TEXTBEFORE(A7, {"L","R"}, , , , A7))</f>
        <v>1029</v>
      </c>
      <c r="H7" t="str">
        <f t="shared" si="0"/>
        <v>102920251215</v>
      </c>
      <c r="K7" t="s">
        <v>155</v>
      </c>
    </row>
    <row r="8" spans="1:11" x14ac:dyDescent="0.3">
      <c r="A8" t="s">
        <v>22</v>
      </c>
      <c r="B8" s="1">
        <v>46007</v>
      </c>
      <c r="C8">
        <v>90</v>
      </c>
      <c r="D8">
        <v>10</v>
      </c>
      <c r="G8">
        <f>VALUE(_xlfn.TEXTBEFORE(A8, {"L","R"}, , , , A8))</f>
        <v>1029</v>
      </c>
      <c r="H8" t="str">
        <f t="shared" si="0"/>
        <v>102920251216</v>
      </c>
    </row>
    <row r="9" spans="1:11" x14ac:dyDescent="0.3">
      <c r="A9" t="s">
        <v>22</v>
      </c>
      <c r="B9" s="1">
        <v>46008</v>
      </c>
      <c r="C9">
        <v>90</v>
      </c>
      <c r="D9">
        <v>10</v>
      </c>
      <c r="G9">
        <f>VALUE(_xlfn.TEXTBEFORE(A9, {"L","R"}, , , , A9))</f>
        <v>1029</v>
      </c>
      <c r="H9" t="str">
        <f t="shared" si="0"/>
        <v>102920251217</v>
      </c>
      <c r="K9" t="s">
        <v>153</v>
      </c>
    </row>
    <row r="10" spans="1:11" x14ac:dyDescent="0.3">
      <c r="A10" t="s">
        <v>22</v>
      </c>
      <c r="B10" s="1">
        <v>46009</v>
      </c>
      <c r="C10">
        <v>90</v>
      </c>
      <c r="D10">
        <v>5</v>
      </c>
      <c r="G10">
        <f>VALUE(_xlfn.TEXTBEFORE(A10, {"L","R"}, , , , A10))</f>
        <v>1029</v>
      </c>
      <c r="H10" t="str">
        <f t="shared" si="0"/>
        <v>102920251218</v>
      </c>
    </row>
    <row r="11" spans="1:11" x14ac:dyDescent="0.3">
      <c r="A11" t="s">
        <v>22</v>
      </c>
      <c r="B11" s="1">
        <v>46021</v>
      </c>
      <c r="C11">
        <v>90</v>
      </c>
      <c r="D11">
        <v>10</v>
      </c>
      <c r="G11">
        <f>VALUE(_xlfn.TEXTBEFORE(A11, {"L","R"}, , , , A11))</f>
        <v>1029</v>
      </c>
      <c r="H11" t="str">
        <f t="shared" si="0"/>
        <v>102920251230</v>
      </c>
      <c r="K11" t="s">
        <v>157</v>
      </c>
    </row>
    <row r="12" spans="1:11" x14ac:dyDescent="0.3">
      <c r="A12" t="s">
        <v>22</v>
      </c>
      <c r="B12" s="1">
        <v>46022</v>
      </c>
      <c r="C12">
        <v>90</v>
      </c>
      <c r="D12">
        <v>5</v>
      </c>
      <c r="G12">
        <f>VALUE(_xlfn.TEXTBEFORE(A12, {"L","R"}, , , , A12))</f>
        <v>1029</v>
      </c>
      <c r="H12" t="str">
        <f t="shared" si="0"/>
        <v>102920251231</v>
      </c>
    </row>
    <row r="13" spans="1:11" x14ac:dyDescent="0.3">
      <c r="A13" t="s">
        <v>22</v>
      </c>
      <c r="B13" s="1">
        <v>46029</v>
      </c>
      <c r="C13">
        <v>35</v>
      </c>
      <c r="D13">
        <v>3</v>
      </c>
      <c r="G13">
        <f>VALUE(_xlfn.TEXTBEFORE(A13, {"L","R"}, , , , A13))</f>
        <v>1029</v>
      </c>
      <c r="H13" t="str">
        <f t="shared" si="0"/>
        <v>102920260107</v>
      </c>
    </row>
    <row r="14" spans="1:11" x14ac:dyDescent="0.3">
      <c r="A14" t="s">
        <v>22</v>
      </c>
      <c r="B14" s="1">
        <v>46030</v>
      </c>
      <c r="C14">
        <v>35</v>
      </c>
      <c r="D14">
        <v>5</v>
      </c>
      <c r="G14">
        <f>VALUE(_xlfn.TEXTBEFORE(A14, {"L","R"}, , , , A14))</f>
        <v>1029</v>
      </c>
      <c r="H14" t="str">
        <f t="shared" si="0"/>
        <v>102920260108</v>
      </c>
    </row>
    <row r="15" spans="1:11" x14ac:dyDescent="0.3">
      <c r="A15" t="s">
        <v>22</v>
      </c>
      <c r="B15" s="1">
        <v>46031</v>
      </c>
      <c r="C15">
        <v>35</v>
      </c>
      <c r="D15">
        <v>10</v>
      </c>
      <c r="G15">
        <f>VALUE(_xlfn.TEXTBEFORE(A15, {"L","R"}, , , , A15))</f>
        <v>1029</v>
      </c>
      <c r="H15" t="str">
        <f t="shared" si="0"/>
        <v>102920260109</v>
      </c>
    </row>
    <row r="16" spans="1:11" x14ac:dyDescent="0.3">
      <c r="A16" t="s">
        <v>22</v>
      </c>
      <c r="B16" s="1">
        <v>46032</v>
      </c>
      <c r="C16">
        <v>35</v>
      </c>
      <c r="D16">
        <v>10</v>
      </c>
      <c r="G16">
        <f>VALUE(_xlfn.TEXTBEFORE(A16, {"L","R"}, , , , A16))</f>
        <v>1029</v>
      </c>
      <c r="H16" t="str">
        <f t="shared" si="0"/>
        <v>102920260110</v>
      </c>
    </row>
    <row r="17" spans="1:8" x14ac:dyDescent="0.3">
      <c r="A17" t="s">
        <v>22</v>
      </c>
      <c r="B17" s="1">
        <v>46044</v>
      </c>
      <c r="C17">
        <v>26</v>
      </c>
      <c r="D17">
        <v>3</v>
      </c>
      <c r="G17">
        <f>VALUE(_xlfn.TEXTBEFORE(A17, {"L","R"}, , , , A17))</f>
        <v>1029</v>
      </c>
      <c r="H17" t="str">
        <f t="shared" si="0"/>
        <v>102920260122</v>
      </c>
    </row>
    <row r="18" spans="1:8" x14ac:dyDescent="0.3">
      <c r="A18" t="s">
        <v>22</v>
      </c>
      <c r="B18" s="1">
        <v>46045</v>
      </c>
      <c r="C18">
        <v>26</v>
      </c>
      <c r="D18">
        <v>5</v>
      </c>
      <c r="G18">
        <f>VALUE(_xlfn.TEXTBEFORE(A18, {"L","R"}, , , , A18))</f>
        <v>1029</v>
      </c>
      <c r="H18" t="str">
        <f t="shared" si="0"/>
        <v>102920260123</v>
      </c>
    </row>
    <row r="19" spans="1:8" x14ac:dyDescent="0.3">
      <c r="A19" t="s">
        <v>22</v>
      </c>
      <c r="B19" s="1">
        <v>46051</v>
      </c>
      <c r="C19">
        <v>16</v>
      </c>
      <c r="D19">
        <v>3</v>
      </c>
      <c r="G19">
        <f>VALUE(_xlfn.TEXTBEFORE(A19, {"L","R"}, , , , A19))</f>
        <v>1029</v>
      </c>
      <c r="H19" t="str">
        <f t="shared" si="0"/>
        <v>102920260129</v>
      </c>
    </row>
    <row r="20" spans="1:8" x14ac:dyDescent="0.3">
      <c r="A20" t="s">
        <v>22</v>
      </c>
      <c r="B20" s="1">
        <v>46052</v>
      </c>
      <c r="C20">
        <v>16</v>
      </c>
      <c r="D20">
        <v>5</v>
      </c>
      <c r="G20">
        <f>VALUE(_xlfn.TEXTBEFORE(A20, {"L","R"}, , , , A20))</f>
        <v>1029</v>
      </c>
      <c r="H20" t="str">
        <f t="shared" si="0"/>
        <v>102920260130</v>
      </c>
    </row>
    <row r="21" spans="1:8" x14ac:dyDescent="0.3">
      <c r="A21" t="s">
        <v>22</v>
      </c>
      <c r="B21" s="1">
        <v>46053</v>
      </c>
      <c r="C21">
        <v>16</v>
      </c>
      <c r="D21">
        <v>10</v>
      </c>
      <c r="G21">
        <f>VALUE(_xlfn.TEXTBEFORE(A21, {"L","R"}, , , , A21))</f>
        <v>1029</v>
      </c>
      <c r="H21" t="str">
        <f t="shared" si="0"/>
        <v>102920260131</v>
      </c>
    </row>
    <row r="22" spans="1:8" x14ac:dyDescent="0.3">
      <c r="A22" t="s">
        <v>23</v>
      </c>
      <c r="B22" s="1">
        <v>45945</v>
      </c>
      <c r="C22">
        <v>66</v>
      </c>
      <c r="D22">
        <v>3</v>
      </c>
      <c r="G22">
        <f>VALUE(_xlfn.TEXTBEFORE(A22, {"L","R"}, , , , A22))</f>
        <v>1030</v>
      </c>
      <c r="H22" t="str">
        <f t="shared" si="0"/>
        <v>103020251015</v>
      </c>
    </row>
    <row r="23" spans="1:8" x14ac:dyDescent="0.3">
      <c r="A23" t="s">
        <v>23</v>
      </c>
      <c r="B23" s="1">
        <v>45946</v>
      </c>
      <c r="C23">
        <v>66</v>
      </c>
      <c r="D23">
        <v>5</v>
      </c>
      <c r="G23">
        <f>VALUE(_xlfn.TEXTBEFORE(A23, {"L","R"}, , , , A23))</f>
        <v>1030</v>
      </c>
      <c r="H23" t="str">
        <f t="shared" si="0"/>
        <v>103020251016</v>
      </c>
    </row>
    <row r="24" spans="1:8" x14ac:dyDescent="0.3">
      <c r="A24" t="s">
        <v>23</v>
      </c>
      <c r="B24" s="1">
        <v>45947</v>
      </c>
      <c r="C24">
        <v>66</v>
      </c>
      <c r="D24">
        <v>10</v>
      </c>
      <c r="G24">
        <f>VALUE(_xlfn.TEXTBEFORE(A24, {"L","R"}, , , , A24))</f>
        <v>1030</v>
      </c>
      <c r="H24" t="str">
        <f t="shared" si="0"/>
        <v>103020251017</v>
      </c>
    </row>
    <row r="25" spans="1:8" x14ac:dyDescent="0.3">
      <c r="A25" t="s">
        <v>23</v>
      </c>
      <c r="B25" s="1">
        <v>45948</v>
      </c>
      <c r="C25">
        <v>66</v>
      </c>
      <c r="D25">
        <v>3</v>
      </c>
      <c r="G25">
        <f>VALUE(_xlfn.TEXTBEFORE(A25, {"L","R"}, , , , A25))</f>
        <v>1030</v>
      </c>
      <c r="H25" t="str">
        <f t="shared" si="0"/>
        <v>103020251018</v>
      </c>
    </row>
    <row r="26" spans="1:8" x14ac:dyDescent="0.3">
      <c r="A26" t="s">
        <v>23</v>
      </c>
      <c r="B26" s="1">
        <v>45955</v>
      </c>
      <c r="C26">
        <v>90</v>
      </c>
      <c r="D26">
        <v>3</v>
      </c>
      <c r="G26">
        <f>VALUE(_xlfn.TEXTBEFORE(A26, {"L","R"}, , , , A26))</f>
        <v>1030</v>
      </c>
      <c r="H26" t="str">
        <f t="shared" si="0"/>
        <v>103020251025</v>
      </c>
    </row>
    <row r="27" spans="1:8" x14ac:dyDescent="0.3">
      <c r="A27" t="s">
        <v>23</v>
      </c>
      <c r="B27" s="1">
        <v>45956</v>
      </c>
      <c r="C27">
        <v>90</v>
      </c>
      <c r="D27">
        <v>5</v>
      </c>
      <c r="G27">
        <f>VALUE(_xlfn.TEXTBEFORE(A27, {"L","R"}, , , , A27))</f>
        <v>1030</v>
      </c>
      <c r="H27" t="str">
        <f t="shared" si="0"/>
        <v>103020251026</v>
      </c>
    </row>
    <row r="28" spans="1:8" x14ac:dyDescent="0.3">
      <c r="A28" t="s">
        <v>23</v>
      </c>
      <c r="B28" s="1">
        <v>45957</v>
      </c>
      <c r="C28">
        <v>90</v>
      </c>
      <c r="D28">
        <v>10</v>
      </c>
      <c r="G28">
        <f>VALUE(_xlfn.TEXTBEFORE(A28, {"L","R"}, , , , A28))</f>
        <v>1030</v>
      </c>
      <c r="H28" t="str">
        <f t="shared" si="0"/>
        <v>103020251027</v>
      </c>
    </row>
    <row r="29" spans="1:8" x14ac:dyDescent="0.3">
      <c r="A29" t="s">
        <v>23</v>
      </c>
      <c r="B29" s="1">
        <v>45958</v>
      </c>
      <c r="C29">
        <v>90</v>
      </c>
      <c r="D29">
        <v>10</v>
      </c>
      <c r="G29">
        <f>VALUE(_xlfn.TEXTBEFORE(A29, {"L","R"}, , , , A29))</f>
        <v>1030</v>
      </c>
      <c r="H29" t="str">
        <f t="shared" si="0"/>
        <v>103020251028</v>
      </c>
    </row>
    <row r="30" spans="1:8" x14ac:dyDescent="0.3">
      <c r="A30" t="s">
        <v>23</v>
      </c>
      <c r="B30" s="1">
        <v>45964</v>
      </c>
      <c r="C30">
        <v>35</v>
      </c>
      <c r="D30">
        <v>3</v>
      </c>
      <c r="G30">
        <f>VALUE(_xlfn.TEXTBEFORE(A30, {"L","R"}, , , , A30))</f>
        <v>1030</v>
      </c>
      <c r="H30" t="str">
        <f t="shared" si="0"/>
        <v>103020251103</v>
      </c>
    </row>
    <row r="31" spans="1:8" x14ac:dyDescent="0.3">
      <c r="A31" t="s">
        <v>23</v>
      </c>
      <c r="B31" s="1">
        <v>45965</v>
      </c>
      <c r="C31">
        <v>35</v>
      </c>
      <c r="D31">
        <v>5</v>
      </c>
      <c r="G31">
        <f>VALUE(_xlfn.TEXTBEFORE(A31, {"L","R"}, , , , A31))</f>
        <v>1030</v>
      </c>
      <c r="H31" t="str">
        <f t="shared" si="0"/>
        <v>103020251104</v>
      </c>
    </row>
    <row r="32" spans="1:8" x14ac:dyDescent="0.3">
      <c r="A32" t="s">
        <v>23</v>
      </c>
      <c r="B32" s="1">
        <v>45966</v>
      </c>
      <c r="C32">
        <v>35</v>
      </c>
      <c r="D32">
        <v>10</v>
      </c>
      <c r="G32">
        <f>VALUE(_xlfn.TEXTBEFORE(A32, {"L","R"}, , , , A32))</f>
        <v>1030</v>
      </c>
      <c r="H32" t="str">
        <f t="shared" si="0"/>
        <v>103020251105</v>
      </c>
    </row>
    <row r="33" spans="1:8" x14ac:dyDescent="0.3">
      <c r="A33" t="s">
        <v>23</v>
      </c>
      <c r="B33" s="1">
        <v>45971</v>
      </c>
      <c r="C33">
        <v>26</v>
      </c>
      <c r="D33">
        <v>3</v>
      </c>
      <c r="G33">
        <f>VALUE(_xlfn.TEXTBEFORE(A33, {"L","R"}, , , , A33))</f>
        <v>1030</v>
      </c>
      <c r="H33" t="str">
        <f t="shared" si="0"/>
        <v>103020251110</v>
      </c>
    </row>
    <row r="34" spans="1:8" x14ac:dyDescent="0.3">
      <c r="A34" t="s">
        <v>23</v>
      </c>
      <c r="B34" s="1">
        <v>45972</v>
      </c>
      <c r="C34">
        <v>26</v>
      </c>
      <c r="D34">
        <v>5</v>
      </c>
      <c r="G34">
        <f>VALUE(_xlfn.TEXTBEFORE(A34, {"L","R"}, , , , A34))</f>
        <v>1030</v>
      </c>
      <c r="H34" t="str">
        <f t="shared" si="0"/>
        <v>103020251111</v>
      </c>
    </row>
    <row r="35" spans="1:8" x14ac:dyDescent="0.3">
      <c r="A35" t="s">
        <v>23</v>
      </c>
      <c r="B35" s="1">
        <v>45973</v>
      </c>
      <c r="C35">
        <v>26</v>
      </c>
      <c r="D35">
        <v>10</v>
      </c>
      <c r="G35">
        <f>VALUE(_xlfn.TEXTBEFORE(A35, {"L","R"}, , , , A35))</f>
        <v>1030</v>
      </c>
      <c r="H35" t="str">
        <f t="shared" si="0"/>
        <v>103020251112</v>
      </c>
    </row>
    <row r="36" spans="1:8" x14ac:dyDescent="0.3">
      <c r="A36" t="s">
        <v>23</v>
      </c>
      <c r="B36" s="1">
        <v>45978</v>
      </c>
      <c r="C36">
        <v>16</v>
      </c>
      <c r="D36">
        <v>3</v>
      </c>
      <c r="G36">
        <f>VALUE(_xlfn.TEXTBEFORE(A36, {"L","R"}, , , , A36))</f>
        <v>1030</v>
      </c>
      <c r="H36" t="str">
        <f t="shared" si="0"/>
        <v>103020251117</v>
      </c>
    </row>
    <row r="37" spans="1:8" x14ac:dyDescent="0.3">
      <c r="A37" t="s">
        <v>23</v>
      </c>
      <c r="B37" s="1">
        <v>45979</v>
      </c>
      <c r="C37">
        <v>16</v>
      </c>
      <c r="D37">
        <v>5</v>
      </c>
      <c r="G37">
        <f>VALUE(_xlfn.TEXTBEFORE(A37, {"L","R"}, , , , A37))</f>
        <v>1030</v>
      </c>
      <c r="H37" t="str">
        <f t="shared" si="0"/>
        <v>103020251118</v>
      </c>
    </row>
    <row r="38" spans="1:8" x14ac:dyDescent="0.3">
      <c r="A38" t="s">
        <v>23</v>
      </c>
      <c r="B38" s="1">
        <v>45980</v>
      </c>
      <c r="C38">
        <v>16</v>
      </c>
      <c r="D38">
        <v>10</v>
      </c>
      <c r="G38">
        <f>VALUE(_xlfn.TEXTBEFORE(A38, {"L","R"}, , , , A38))</f>
        <v>1030</v>
      </c>
      <c r="H38" t="str">
        <f t="shared" si="0"/>
        <v>103020251119</v>
      </c>
    </row>
    <row r="39" spans="1:8" x14ac:dyDescent="0.3">
      <c r="A39" t="s">
        <v>23</v>
      </c>
      <c r="B39" s="1">
        <v>46006</v>
      </c>
      <c r="C39">
        <v>66</v>
      </c>
      <c r="D39" t="s">
        <v>24</v>
      </c>
      <c r="G39">
        <f>VALUE(_xlfn.TEXTBEFORE(A39, {"L","R"}, , , , A39))</f>
        <v>1030</v>
      </c>
      <c r="H39" t="str">
        <f t="shared" si="0"/>
        <v>103020251215</v>
      </c>
    </row>
    <row r="40" spans="1:8" x14ac:dyDescent="0.3">
      <c r="A40" t="s">
        <v>23</v>
      </c>
      <c r="B40" s="1">
        <v>46008</v>
      </c>
      <c r="C40">
        <v>66</v>
      </c>
      <c r="D40" t="s">
        <v>24</v>
      </c>
      <c r="G40">
        <f>VALUE(_xlfn.TEXTBEFORE(A40, {"L","R"}, , , , A40))</f>
        <v>1030</v>
      </c>
      <c r="H40" t="str">
        <f t="shared" si="0"/>
        <v>103020251217</v>
      </c>
    </row>
    <row r="41" spans="1:8" x14ac:dyDescent="0.3">
      <c r="A41" t="s">
        <v>23</v>
      </c>
      <c r="B41" s="1">
        <v>46009</v>
      </c>
      <c r="C41">
        <v>66</v>
      </c>
      <c r="D41" t="s">
        <v>24</v>
      </c>
      <c r="G41">
        <f>VALUE(_xlfn.TEXTBEFORE(A41, {"L","R"}, , , , A41))</f>
        <v>1030</v>
      </c>
      <c r="H41" t="str">
        <f t="shared" si="0"/>
        <v>103020251218</v>
      </c>
    </row>
    <row r="42" spans="1:8" x14ac:dyDescent="0.3">
      <c r="A42" t="s">
        <v>23</v>
      </c>
      <c r="B42" s="1">
        <v>46021</v>
      </c>
      <c r="C42">
        <v>66</v>
      </c>
      <c r="D42">
        <v>10</v>
      </c>
      <c r="G42">
        <f>VALUE(_xlfn.TEXTBEFORE(A42, {"L","R"}, , , , A42))</f>
        <v>1030</v>
      </c>
      <c r="H42" t="str">
        <f t="shared" si="0"/>
        <v>103020251230</v>
      </c>
    </row>
    <row r="43" spans="1:8" x14ac:dyDescent="0.3">
      <c r="A43" t="s">
        <v>25</v>
      </c>
      <c r="B43" s="1">
        <v>45983</v>
      </c>
      <c r="C43">
        <v>66</v>
      </c>
      <c r="D43">
        <v>3</v>
      </c>
      <c r="G43">
        <f>VALUE(_xlfn.TEXTBEFORE(A43, {"L","R"}, , , , A43))</f>
        <v>1031</v>
      </c>
      <c r="H43" t="str">
        <f t="shared" si="0"/>
        <v>103120251122</v>
      </c>
    </row>
    <row r="44" spans="1:8" x14ac:dyDescent="0.3">
      <c r="A44" t="s">
        <v>25</v>
      </c>
      <c r="B44" s="1">
        <v>45984</v>
      </c>
      <c r="C44">
        <v>66</v>
      </c>
      <c r="D44">
        <v>5</v>
      </c>
      <c r="G44">
        <f>VALUE(_xlfn.TEXTBEFORE(A44, {"L","R"}, , , , A44))</f>
        <v>1031</v>
      </c>
      <c r="H44" t="str">
        <f t="shared" si="0"/>
        <v>103120251123</v>
      </c>
    </row>
    <row r="45" spans="1:8" x14ac:dyDescent="0.3">
      <c r="A45" t="s">
        <v>25</v>
      </c>
      <c r="B45" s="1">
        <v>45985</v>
      </c>
      <c r="C45">
        <v>66</v>
      </c>
      <c r="D45">
        <v>10</v>
      </c>
      <c r="G45">
        <f>VALUE(_xlfn.TEXTBEFORE(A45, {"L","R"}, , , , A45))</f>
        <v>1031</v>
      </c>
      <c r="H45" t="str">
        <f t="shared" si="0"/>
        <v>103120251124</v>
      </c>
    </row>
    <row r="46" spans="1:8" x14ac:dyDescent="0.3">
      <c r="A46" t="s">
        <v>25</v>
      </c>
      <c r="B46" s="1">
        <v>46003</v>
      </c>
      <c r="C46">
        <v>90</v>
      </c>
      <c r="D46">
        <v>3</v>
      </c>
      <c r="G46">
        <f>VALUE(_xlfn.TEXTBEFORE(A46, {"L","R"}, , , , A46))</f>
        <v>1031</v>
      </c>
      <c r="H46" t="str">
        <f t="shared" si="0"/>
        <v>103120251212</v>
      </c>
    </row>
    <row r="47" spans="1:8" x14ac:dyDescent="0.3">
      <c r="A47" t="s">
        <v>25</v>
      </c>
      <c r="B47" s="1">
        <v>46004</v>
      </c>
      <c r="C47">
        <v>90</v>
      </c>
      <c r="D47">
        <v>5</v>
      </c>
      <c r="G47">
        <f>VALUE(_xlfn.TEXTBEFORE(A47, {"L","R"}, , , , A47))</f>
        <v>1031</v>
      </c>
      <c r="H47" t="str">
        <f t="shared" si="0"/>
        <v>103120251213</v>
      </c>
    </row>
    <row r="48" spans="1:8" x14ac:dyDescent="0.3">
      <c r="A48" t="s">
        <v>25</v>
      </c>
      <c r="B48" s="1">
        <v>46006</v>
      </c>
      <c r="C48">
        <v>90</v>
      </c>
      <c r="D48">
        <v>10</v>
      </c>
      <c r="G48">
        <f>VALUE(_xlfn.TEXTBEFORE(A48, {"L","R"}, , , , A48))</f>
        <v>1031</v>
      </c>
      <c r="H48" t="str">
        <f t="shared" si="0"/>
        <v>103120251215</v>
      </c>
    </row>
    <row r="49" spans="1:8" x14ac:dyDescent="0.3">
      <c r="A49" t="s">
        <v>25</v>
      </c>
      <c r="B49" s="1">
        <v>46007</v>
      </c>
      <c r="C49">
        <v>90</v>
      </c>
      <c r="D49">
        <v>10</v>
      </c>
      <c r="G49">
        <f>VALUE(_xlfn.TEXTBEFORE(A49, {"L","R"}, , , , A49))</f>
        <v>1031</v>
      </c>
      <c r="H49" t="str">
        <f t="shared" si="0"/>
        <v>103120251216</v>
      </c>
    </row>
    <row r="50" spans="1:8" x14ac:dyDescent="0.3">
      <c r="A50" t="s">
        <v>25</v>
      </c>
      <c r="B50" s="1">
        <v>46008</v>
      </c>
      <c r="C50">
        <v>90</v>
      </c>
      <c r="D50">
        <v>10</v>
      </c>
      <c r="G50">
        <f>VALUE(_xlfn.TEXTBEFORE(A50, {"L","R"}, , , , A50))</f>
        <v>1031</v>
      </c>
      <c r="H50" t="str">
        <f t="shared" si="0"/>
        <v>103120251217</v>
      </c>
    </row>
    <row r="51" spans="1:8" x14ac:dyDescent="0.3">
      <c r="A51" t="s">
        <v>25</v>
      </c>
      <c r="B51" s="1">
        <v>46009</v>
      </c>
      <c r="C51">
        <v>90</v>
      </c>
      <c r="D51">
        <v>5</v>
      </c>
      <c r="G51">
        <f>VALUE(_xlfn.TEXTBEFORE(A51, {"L","R"}, , , , A51))</f>
        <v>1031</v>
      </c>
      <c r="H51" t="str">
        <f t="shared" si="0"/>
        <v>103120251218</v>
      </c>
    </row>
    <row r="52" spans="1:8" x14ac:dyDescent="0.3">
      <c r="A52" t="s">
        <v>25</v>
      </c>
      <c r="B52" s="1">
        <v>46031</v>
      </c>
      <c r="C52">
        <v>35</v>
      </c>
      <c r="D52">
        <v>3</v>
      </c>
      <c r="G52">
        <f>VALUE(_xlfn.TEXTBEFORE(A52, {"L","R"}, , , , A52))</f>
        <v>1031</v>
      </c>
      <c r="H52" t="str">
        <f t="shared" si="0"/>
        <v>103120260109</v>
      </c>
    </row>
    <row r="53" spans="1:8" x14ac:dyDescent="0.3">
      <c r="A53" t="s">
        <v>25</v>
      </c>
      <c r="B53" s="1">
        <v>46032</v>
      </c>
      <c r="C53">
        <v>35</v>
      </c>
      <c r="D53">
        <v>5</v>
      </c>
      <c r="G53">
        <f>VALUE(_xlfn.TEXTBEFORE(A53, {"L","R"}, , , , A53))</f>
        <v>1031</v>
      </c>
      <c r="H53" t="str">
        <f t="shared" si="0"/>
        <v>103120260110</v>
      </c>
    </row>
    <row r="54" spans="1:8" x14ac:dyDescent="0.3">
      <c r="A54" t="s">
        <v>25</v>
      </c>
      <c r="B54" s="1">
        <v>46033</v>
      </c>
      <c r="C54">
        <v>35</v>
      </c>
      <c r="D54">
        <v>10</v>
      </c>
      <c r="G54">
        <f>VALUE(_xlfn.TEXTBEFORE(A54, {"L","R"}, , , , A54))</f>
        <v>1031</v>
      </c>
      <c r="H54" t="str">
        <f t="shared" si="0"/>
        <v>103120260111</v>
      </c>
    </row>
    <row r="55" spans="1:8" x14ac:dyDescent="0.3">
      <c r="A55" t="s">
        <v>25</v>
      </c>
      <c r="B55" s="1">
        <v>46037</v>
      </c>
      <c r="C55">
        <v>35</v>
      </c>
      <c r="D55">
        <v>10</v>
      </c>
      <c r="G55">
        <f>VALUE(_xlfn.TEXTBEFORE(A55, {"L","R"}, , , , A55))</f>
        <v>1031</v>
      </c>
      <c r="H55" t="str">
        <f t="shared" si="0"/>
        <v>103120260115</v>
      </c>
    </row>
    <row r="56" spans="1:8" x14ac:dyDescent="0.3">
      <c r="A56" t="s">
        <v>25</v>
      </c>
      <c r="B56" s="1">
        <v>46044</v>
      </c>
      <c r="C56">
        <v>26</v>
      </c>
      <c r="D56">
        <v>3</v>
      </c>
      <c r="G56">
        <f>VALUE(_xlfn.TEXTBEFORE(A56, {"L","R"}, , , , A56))</f>
        <v>1031</v>
      </c>
      <c r="H56" t="str">
        <f t="shared" si="0"/>
        <v>103120260122</v>
      </c>
    </row>
    <row r="57" spans="1:8" x14ac:dyDescent="0.3">
      <c r="A57" t="s">
        <v>25</v>
      </c>
      <c r="B57" s="1">
        <v>46045</v>
      </c>
      <c r="C57">
        <v>26</v>
      </c>
      <c r="D57">
        <v>5</v>
      </c>
      <c r="G57">
        <f>VALUE(_xlfn.TEXTBEFORE(A57, {"L","R"}, , , , A57))</f>
        <v>1031</v>
      </c>
      <c r="H57" t="str">
        <f t="shared" si="0"/>
        <v>103120260123</v>
      </c>
    </row>
    <row r="58" spans="1:8" x14ac:dyDescent="0.3">
      <c r="A58" t="s">
        <v>25</v>
      </c>
      <c r="B58" s="1">
        <v>46055</v>
      </c>
      <c r="C58">
        <v>16</v>
      </c>
      <c r="D58">
        <v>3</v>
      </c>
      <c r="G58">
        <f>VALUE(_xlfn.TEXTBEFORE(A58, {"L","R"}, , , , A58))</f>
        <v>1031</v>
      </c>
      <c r="H58" t="str">
        <f t="shared" si="0"/>
        <v>103120260202</v>
      </c>
    </row>
    <row r="59" spans="1:8" x14ac:dyDescent="0.3">
      <c r="A59" t="s">
        <v>25</v>
      </c>
      <c r="B59" s="1">
        <v>46056</v>
      </c>
      <c r="C59">
        <v>16</v>
      </c>
      <c r="D59">
        <v>5</v>
      </c>
      <c r="G59">
        <f>VALUE(_xlfn.TEXTBEFORE(A59, {"L","R"}, , , , A59))</f>
        <v>1031</v>
      </c>
      <c r="H59" t="str">
        <f t="shared" si="0"/>
        <v>103120260203</v>
      </c>
    </row>
    <row r="60" spans="1:8" x14ac:dyDescent="0.3">
      <c r="A60" t="s">
        <v>25</v>
      </c>
      <c r="B60" s="1">
        <v>46057</v>
      </c>
      <c r="C60">
        <v>16</v>
      </c>
      <c r="D60">
        <v>10</v>
      </c>
      <c r="G60">
        <f>VALUE(_xlfn.TEXTBEFORE(A60, {"L","R"}, , , , A60))</f>
        <v>1031</v>
      </c>
      <c r="H60" t="str">
        <f t="shared" si="0"/>
        <v>103120260204</v>
      </c>
    </row>
    <row r="61" spans="1:8" x14ac:dyDescent="0.3">
      <c r="A61" t="s">
        <v>25</v>
      </c>
      <c r="B61" s="1">
        <v>46058</v>
      </c>
      <c r="C61">
        <v>16</v>
      </c>
      <c r="D61">
        <v>10</v>
      </c>
      <c r="G61">
        <f>VALUE(_xlfn.TEXTBEFORE(A61, {"L","R"}, , , , A61))</f>
        <v>1031</v>
      </c>
      <c r="H61" t="str">
        <f t="shared" si="0"/>
        <v>103120260205</v>
      </c>
    </row>
    <row r="62" spans="1:8" x14ac:dyDescent="0.3">
      <c r="A62" t="s">
        <v>26</v>
      </c>
      <c r="B62" s="1">
        <v>45945</v>
      </c>
      <c r="C62">
        <v>66</v>
      </c>
      <c r="D62">
        <v>3</v>
      </c>
      <c r="G62">
        <f>VALUE(_xlfn.TEXTBEFORE(A62, {"L","R"}, , , , A62))</f>
        <v>1034</v>
      </c>
      <c r="H62" t="str">
        <f t="shared" si="0"/>
        <v>103420251015</v>
      </c>
    </row>
    <row r="63" spans="1:8" x14ac:dyDescent="0.3">
      <c r="A63" t="s">
        <v>26</v>
      </c>
      <c r="B63" s="1">
        <v>45946</v>
      </c>
      <c r="C63">
        <v>66</v>
      </c>
      <c r="D63">
        <v>5</v>
      </c>
      <c r="G63">
        <f>VALUE(_xlfn.TEXTBEFORE(A63, {"L","R"}, , , , A63))</f>
        <v>1034</v>
      </c>
      <c r="H63" t="str">
        <f t="shared" si="0"/>
        <v>103420251016</v>
      </c>
    </row>
    <row r="64" spans="1:8" x14ac:dyDescent="0.3">
      <c r="A64" t="s">
        <v>26</v>
      </c>
      <c r="B64" s="1">
        <v>45947</v>
      </c>
      <c r="C64">
        <v>66</v>
      </c>
      <c r="D64">
        <v>10</v>
      </c>
      <c r="G64">
        <f>VALUE(_xlfn.TEXTBEFORE(A64, {"L","R"}, , , , A64))</f>
        <v>1034</v>
      </c>
      <c r="H64" t="str">
        <f t="shared" si="0"/>
        <v>103420251017</v>
      </c>
    </row>
    <row r="65" spans="1:8" x14ac:dyDescent="0.3">
      <c r="A65" t="s">
        <v>26</v>
      </c>
      <c r="B65" s="1">
        <v>45948</v>
      </c>
      <c r="C65">
        <v>66</v>
      </c>
      <c r="D65">
        <v>3</v>
      </c>
      <c r="G65">
        <f>VALUE(_xlfn.TEXTBEFORE(A65, {"L","R"}, , , , A65))</f>
        <v>1034</v>
      </c>
      <c r="H65" t="str">
        <f t="shared" si="0"/>
        <v>103420251018</v>
      </c>
    </row>
    <row r="66" spans="1:8" x14ac:dyDescent="0.3">
      <c r="A66" t="s">
        <v>26</v>
      </c>
      <c r="B66" s="1">
        <v>45952</v>
      </c>
      <c r="C66">
        <v>90</v>
      </c>
      <c r="D66">
        <v>3</v>
      </c>
      <c r="G66">
        <f>VALUE(_xlfn.TEXTBEFORE(A66, {"L","R"}, , , , A66))</f>
        <v>1034</v>
      </c>
      <c r="H66" t="str">
        <f t="shared" si="0"/>
        <v>103420251022</v>
      </c>
    </row>
    <row r="67" spans="1:8" x14ac:dyDescent="0.3">
      <c r="A67" t="s">
        <v>26</v>
      </c>
      <c r="B67" s="1">
        <v>45953</v>
      </c>
      <c r="C67">
        <v>90</v>
      </c>
      <c r="D67">
        <v>5</v>
      </c>
      <c r="G67">
        <f>VALUE(_xlfn.TEXTBEFORE(A67, {"L","R"}, , , , A67))</f>
        <v>1034</v>
      </c>
      <c r="H67" t="str">
        <f t="shared" ref="H67:H130" si="1">LEFT(A67, LEN(A67)-1) &amp; TEXT(B67, "yyyymmdd")</f>
        <v>103420251023</v>
      </c>
    </row>
    <row r="68" spans="1:8" x14ac:dyDescent="0.3">
      <c r="A68" t="s">
        <v>26</v>
      </c>
      <c r="B68" s="1">
        <v>45954</v>
      </c>
      <c r="C68">
        <v>90</v>
      </c>
      <c r="D68">
        <v>10</v>
      </c>
      <c r="G68">
        <f>VALUE(_xlfn.TEXTBEFORE(A68, {"L","R"}, , , , A68))</f>
        <v>1034</v>
      </c>
      <c r="H68" t="str">
        <f t="shared" si="1"/>
        <v>103420251024</v>
      </c>
    </row>
    <row r="69" spans="1:8" x14ac:dyDescent="0.3">
      <c r="A69" t="s">
        <v>26</v>
      </c>
      <c r="B69" s="1">
        <v>45959</v>
      </c>
      <c r="C69">
        <v>35</v>
      </c>
      <c r="D69">
        <v>3</v>
      </c>
      <c r="G69">
        <f>VALUE(_xlfn.TEXTBEFORE(A69, {"L","R"}, , , , A69))</f>
        <v>1034</v>
      </c>
      <c r="H69" t="str">
        <f t="shared" si="1"/>
        <v>103420251029</v>
      </c>
    </row>
    <row r="70" spans="1:8" x14ac:dyDescent="0.3">
      <c r="A70" t="s">
        <v>26</v>
      </c>
      <c r="B70" s="1">
        <v>45960</v>
      </c>
      <c r="C70">
        <v>35</v>
      </c>
      <c r="D70">
        <v>5</v>
      </c>
      <c r="G70">
        <f>VALUE(_xlfn.TEXTBEFORE(A70, {"L","R"}, , , , A70))</f>
        <v>1034</v>
      </c>
      <c r="H70" t="str">
        <f t="shared" si="1"/>
        <v>103420251030</v>
      </c>
    </row>
    <row r="71" spans="1:8" x14ac:dyDescent="0.3">
      <c r="A71" t="s">
        <v>26</v>
      </c>
      <c r="B71" s="1">
        <v>45962</v>
      </c>
      <c r="C71">
        <v>35</v>
      </c>
      <c r="D71">
        <v>10</v>
      </c>
      <c r="G71">
        <f>VALUE(_xlfn.TEXTBEFORE(A71, {"L","R"}, , , , A71))</f>
        <v>1034</v>
      </c>
      <c r="H71" t="str">
        <f t="shared" si="1"/>
        <v>103420251101</v>
      </c>
    </row>
    <row r="72" spans="1:8" x14ac:dyDescent="0.3">
      <c r="A72" t="s">
        <v>26</v>
      </c>
      <c r="B72" s="1">
        <v>45967</v>
      </c>
      <c r="C72">
        <v>26</v>
      </c>
      <c r="D72">
        <v>3</v>
      </c>
      <c r="G72">
        <f>VALUE(_xlfn.TEXTBEFORE(A72, {"L","R"}, , , , A72))</f>
        <v>1034</v>
      </c>
      <c r="H72" t="str">
        <f t="shared" si="1"/>
        <v>103420251106</v>
      </c>
    </row>
    <row r="73" spans="1:8" x14ac:dyDescent="0.3">
      <c r="A73" t="s">
        <v>26</v>
      </c>
      <c r="B73" s="1">
        <v>45968</v>
      </c>
      <c r="C73">
        <v>26</v>
      </c>
      <c r="D73">
        <v>5</v>
      </c>
      <c r="G73">
        <f>VALUE(_xlfn.TEXTBEFORE(A73, {"L","R"}, , , , A73))</f>
        <v>1034</v>
      </c>
      <c r="H73" t="str">
        <f t="shared" si="1"/>
        <v>103420251107</v>
      </c>
    </row>
    <row r="74" spans="1:8" x14ac:dyDescent="0.3">
      <c r="A74" t="s">
        <v>26</v>
      </c>
      <c r="B74" s="1">
        <v>45969</v>
      </c>
      <c r="C74">
        <v>26</v>
      </c>
      <c r="D74">
        <v>10</v>
      </c>
      <c r="G74">
        <f>VALUE(_xlfn.TEXTBEFORE(A74, {"L","R"}, , , , A74))</f>
        <v>1034</v>
      </c>
      <c r="H74" t="str">
        <f t="shared" si="1"/>
        <v>103420251108</v>
      </c>
    </row>
    <row r="75" spans="1:8" x14ac:dyDescent="0.3">
      <c r="A75" t="s">
        <v>26</v>
      </c>
      <c r="B75" s="1">
        <v>45974</v>
      </c>
      <c r="C75">
        <v>16</v>
      </c>
      <c r="D75">
        <v>3</v>
      </c>
      <c r="G75">
        <f>VALUE(_xlfn.TEXTBEFORE(A75, {"L","R"}, , , , A75))</f>
        <v>1034</v>
      </c>
      <c r="H75" t="str">
        <f t="shared" si="1"/>
        <v>103420251113</v>
      </c>
    </row>
    <row r="76" spans="1:8" x14ac:dyDescent="0.3">
      <c r="A76" t="s">
        <v>26</v>
      </c>
      <c r="B76" s="1">
        <v>45975</v>
      </c>
      <c r="C76">
        <v>16</v>
      </c>
      <c r="D76">
        <v>5</v>
      </c>
      <c r="G76">
        <f>VALUE(_xlfn.TEXTBEFORE(A76, {"L","R"}, , , , A76))</f>
        <v>1034</v>
      </c>
      <c r="H76" t="str">
        <f t="shared" si="1"/>
        <v>103420251114</v>
      </c>
    </row>
    <row r="77" spans="1:8" x14ac:dyDescent="0.3">
      <c r="A77" t="s">
        <v>26</v>
      </c>
      <c r="B77" s="1">
        <v>45978</v>
      </c>
      <c r="C77">
        <v>16</v>
      </c>
      <c r="D77">
        <v>3</v>
      </c>
      <c r="G77">
        <f>VALUE(_xlfn.TEXTBEFORE(A77, {"L","R"}, , , , A77))</f>
        <v>1034</v>
      </c>
      <c r="H77" t="str">
        <f t="shared" si="1"/>
        <v>103420251117</v>
      </c>
    </row>
    <row r="78" spans="1:8" x14ac:dyDescent="0.3">
      <c r="A78" t="s">
        <v>26</v>
      </c>
      <c r="B78" s="1">
        <v>45979</v>
      </c>
      <c r="C78">
        <v>16</v>
      </c>
      <c r="D78">
        <v>5</v>
      </c>
      <c r="G78">
        <f>VALUE(_xlfn.TEXTBEFORE(A78, {"L","R"}, , , , A78))</f>
        <v>1034</v>
      </c>
      <c r="H78" t="str">
        <f t="shared" si="1"/>
        <v>103420251118</v>
      </c>
    </row>
    <row r="79" spans="1:8" x14ac:dyDescent="0.3">
      <c r="A79" t="s">
        <v>26</v>
      </c>
      <c r="B79" s="1">
        <v>45980</v>
      </c>
      <c r="C79">
        <v>16</v>
      </c>
      <c r="D79">
        <v>10</v>
      </c>
      <c r="G79">
        <f>VALUE(_xlfn.TEXTBEFORE(A79, {"L","R"}, , , , A79))</f>
        <v>1034</v>
      </c>
      <c r="H79" t="str">
        <f t="shared" si="1"/>
        <v>103420251119</v>
      </c>
    </row>
    <row r="80" spans="1:8" x14ac:dyDescent="0.3">
      <c r="A80" t="s">
        <v>26</v>
      </c>
      <c r="B80" s="1">
        <v>46006</v>
      </c>
      <c r="C80">
        <v>66</v>
      </c>
      <c r="D80" t="s">
        <v>24</v>
      </c>
      <c r="G80">
        <f>VALUE(_xlfn.TEXTBEFORE(A80, {"L","R"}, , , , A80))</f>
        <v>1034</v>
      </c>
      <c r="H80" t="str">
        <f t="shared" si="1"/>
        <v>103420251215</v>
      </c>
    </row>
    <row r="81" spans="1:8" x14ac:dyDescent="0.3">
      <c r="A81" t="s">
        <v>26</v>
      </c>
      <c r="B81" s="1">
        <v>46008</v>
      </c>
      <c r="C81">
        <v>66</v>
      </c>
      <c r="D81">
        <v>10</v>
      </c>
      <c r="G81">
        <f>VALUE(_xlfn.TEXTBEFORE(A81, {"L","R"}, , , , A81))</f>
        <v>1034</v>
      </c>
      <c r="H81" t="str">
        <f t="shared" si="1"/>
        <v>103420251217</v>
      </c>
    </row>
    <row r="82" spans="1:8" x14ac:dyDescent="0.3">
      <c r="A82" t="s">
        <v>26</v>
      </c>
      <c r="B82" s="1">
        <v>46009</v>
      </c>
      <c r="C82">
        <v>66</v>
      </c>
      <c r="D82">
        <v>3</v>
      </c>
      <c r="G82">
        <f>VALUE(_xlfn.TEXTBEFORE(A82, {"L","R"}, , , , A82))</f>
        <v>1034</v>
      </c>
      <c r="H82" t="str">
        <f t="shared" si="1"/>
        <v>103420251218</v>
      </c>
    </row>
    <row r="83" spans="1:8" x14ac:dyDescent="0.3">
      <c r="A83" t="s">
        <v>26</v>
      </c>
      <c r="B83" s="1">
        <v>46022</v>
      </c>
      <c r="C83">
        <v>66</v>
      </c>
      <c r="D83" t="s">
        <v>27</v>
      </c>
      <c r="G83">
        <f>VALUE(_xlfn.TEXTBEFORE(A83, {"L","R"}, , , , A83))</f>
        <v>1034</v>
      </c>
      <c r="H83" t="str">
        <f t="shared" si="1"/>
        <v>103420251231</v>
      </c>
    </row>
    <row r="84" spans="1:8" x14ac:dyDescent="0.3">
      <c r="A84" t="s">
        <v>26</v>
      </c>
      <c r="B84" s="1">
        <v>46035</v>
      </c>
      <c r="C84">
        <v>66</v>
      </c>
      <c r="D84" t="s">
        <v>24</v>
      </c>
      <c r="G84">
        <f>VALUE(_xlfn.TEXTBEFORE(A84, {"L","R"}, , , , A84))</f>
        <v>1034</v>
      </c>
      <c r="H84" t="str">
        <f t="shared" si="1"/>
        <v>103420260113</v>
      </c>
    </row>
    <row r="85" spans="1:8" x14ac:dyDescent="0.3">
      <c r="A85" t="s">
        <v>26</v>
      </c>
      <c r="B85" s="1">
        <v>46036</v>
      </c>
      <c r="C85">
        <v>66</v>
      </c>
      <c r="D85" t="s">
        <v>27</v>
      </c>
      <c r="G85">
        <f>VALUE(_xlfn.TEXTBEFORE(A85, {"L","R"}, , , , A85))</f>
        <v>1034</v>
      </c>
      <c r="H85" t="str">
        <f t="shared" si="1"/>
        <v>103420260114</v>
      </c>
    </row>
    <row r="86" spans="1:8" x14ac:dyDescent="0.3">
      <c r="A86" t="s">
        <v>28</v>
      </c>
      <c r="B86" s="1">
        <v>45863</v>
      </c>
      <c r="C86">
        <v>66</v>
      </c>
      <c r="D86">
        <v>3</v>
      </c>
      <c r="G86">
        <f>VALUE(_xlfn.TEXTBEFORE(A86, {"L","R"}, , , , A86))</f>
        <v>948</v>
      </c>
      <c r="H86" t="str">
        <f t="shared" si="1"/>
        <v>94820250725</v>
      </c>
    </row>
    <row r="87" spans="1:8" x14ac:dyDescent="0.3">
      <c r="A87" t="s">
        <v>28</v>
      </c>
      <c r="B87" s="1">
        <v>45865</v>
      </c>
      <c r="C87">
        <v>66</v>
      </c>
      <c r="D87">
        <v>5</v>
      </c>
      <c r="G87">
        <f>VALUE(_xlfn.TEXTBEFORE(A87, {"L","R"}, , , , A87))</f>
        <v>948</v>
      </c>
      <c r="H87" t="str">
        <f t="shared" si="1"/>
        <v>94820250727</v>
      </c>
    </row>
    <row r="88" spans="1:8" x14ac:dyDescent="0.3">
      <c r="A88" t="s">
        <v>28</v>
      </c>
      <c r="B88" s="1">
        <v>45866</v>
      </c>
      <c r="C88">
        <v>66</v>
      </c>
      <c r="D88">
        <v>10</v>
      </c>
      <c r="G88">
        <f>VALUE(_xlfn.TEXTBEFORE(A88, {"L","R"}, , , , A88))</f>
        <v>948</v>
      </c>
      <c r="H88" t="str">
        <f t="shared" si="1"/>
        <v>94820250728</v>
      </c>
    </row>
    <row r="89" spans="1:8" x14ac:dyDescent="0.3">
      <c r="A89" t="s">
        <v>28</v>
      </c>
      <c r="B89" s="1">
        <v>45867</v>
      </c>
      <c r="C89">
        <v>66</v>
      </c>
      <c r="D89">
        <v>3</v>
      </c>
      <c r="G89">
        <f>VALUE(_xlfn.TEXTBEFORE(A89, {"L","R"}, , , , A89))</f>
        <v>948</v>
      </c>
      <c r="H89" t="str">
        <f t="shared" si="1"/>
        <v>94820250729</v>
      </c>
    </row>
    <row r="90" spans="1:8" x14ac:dyDescent="0.3">
      <c r="A90" t="s">
        <v>28</v>
      </c>
      <c r="B90" s="1">
        <v>45868</v>
      </c>
      <c r="C90">
        <v>90</v>
      </c>
      <c r="D90">
        <v>3</v>
      </c>
      <c r="G90">
        <f>VALUE(_xlfn.TEXTBEFORE(A90, {"L","R"}, , , , A90))</f>
        <v>948</v>
      </c>
      <c r="H90" t="str">
        <f t="shared" si="1"/>
        <v>94820250730</v>
      </c>
    </row>
    <row r="91" spans="1:8" x14ac:dyDescent="0.3">
      <c r="A91" t="s">
        <v>28</v>
      </c>
      <c r="B91" s="1">
        <v>45869</v>
      </c>
      <c r="C91">
        <v>90</v>
      </c>
      <c r="D91">
        <v>5</v>
      </c>
      <c r="G91">
        <f>VALUE(_xlfn.TEXTBEFORE(A91, {"L","R"}, , , , A91))</f>
        <v>948</v>
      </c>
      <c r="H91" t="str">
        <f t="shared" si="1"/>
        <v>94820250731</v>
      </c>
    </row>
    <row r="92" spans="1:8" x14ac:dyDescent="0.3">
      <c r="A92" t="s">
        <v>28</v>
      </c>
      <c r="B92" s="1">
        <v>45870</v>
      </c>
      <c r="C92">
        <v>90</v>
      </c>
      <c r="D92">
        <v>10</v>
      </c>
      <c r="G92">
        <f>VALUE(_xlfn.TEXTBEFORE(A92, {"L","R"}, , , , A92))</f>
        <v>948</v>
      </c>
      <c r="H92" t="str">
        <f t="shared" si="1"/>
        <v>94820250801</v>
      </c>
    </row>
    <row r="93" spans="1:8" x14ac:dyDescent="0.3">
      <c r="A93" t="s">
        <v>28</v>
      </c>
      <c r="B93" s="1">
        <v>45872</v>
      </c>
      <c r="C93">
        <v>35</v>
      </c>
      <c r="D93">
        <v>3</v>
      </c>
      <c r="G93">
        <f>VALUE(_xlfn.TEXTBEFORE(A93, {"L","R"}, , , , A93))</f>
        <v>948</v>
      </c>
      <c r="H93" t="str">
        <f t="shared" si="1"/>
        <v>94820250803</v>
      </c>
    </row>
    <row r="94" spans="1:8" x14ac:dyDescent="0.3">
      <c r="A94" t="s">
        <v>28</v>
      </c>
      <c r="B94" s="1">
        <v>45875</v>
      </c>
      <c r="C94">
        <v>35</v>
      </c>
      <c r="D94">
        <v>5</v>
      </c>
      <c r="G94">
        <f>VALUE(_xlfn.TEXTBEFORE(A94, {"L","R"}, , , , A94))</f>
        <v>948</v>
      </c>
      <c r="H94" t="str">
        <f t="shared" si="1"/>
        <v>94820250806</v>
      </c>
    </row>
    <row r="95" spans="1:8" x14ac:dyDescent="0.3">
      <c r="A95" t="s">
        <v>28</v>
      </c>
      <c r="B95" s="1">
        <v>45876</v>
      </c>
      <c r="C95">
        <v>35</v>
      </c>
      <c r="D95">
        <v>10</v>
      </c>
      <c r="G95">
        <f>VALUE(_xlfn.TEXTBEFORE(A95, {"L","R"}, , , , A95))</f>
        <v>948</v>
      </c>
      <c r="H95" t="str">
        <f t="shared" si="1"/>
        <v>94820250807</v>
      </c>
    </row>
    <row r="96" spans="1:8" x14ac:dyDescent="0.3">
      <c r="A96" t="s">
        <v>28</v>
      </c>
      <c r="B96" s="1">
        <v>45882</v>
      </c>
      <c r="C96">
        <v>26</v>
      </c>
      <c r="D96">
        <v>3</v>
      </c>
      <c r="G96">
        <f>VALUE(_xlfn.TEXTBEFORE(A96, {"L","R"}, , , , A96))</f>
        <v>948</v>
      </c>
      <c r="H96" t="str">
        <f t="shared" si="1"/>
        <v>94820250813</v>
      </c>
    </row>
    <row r="97" spans="1:8" x14ac:dyDescent="0.3">
      <c r="A97" t="s">
        <v>28</v>
      </c>
      <c r="B97" s="1">
        <v>45883</v>
      </c>
      <c r="C97">
        <v>26</v>
      </c>
      <c r="D97">
        <v>5</v>
      </c>
      <c r="G97">
        <f>VALUE(_xlfn.TEXTBEFORE(A97, {"L","R"}, , , , A97))</f>
        <v>948</v>
      </c>
      <c r="H97" t="str">
        <f t="shared" si="1"/>
        <v>94820250814</v>
      </c>
    </row>
    <row r="98" spans="1:8" x14ac:dyDescent="0.3">
      <c r="A98" t="s">
        <v>28</v>
      </c>
      <c r="B98" s="1">
        <v>45884</v>
      </c>
      <c r="C98">
        <v>26</v>
      </c>
      <c r="D98">
        <v>10</v>
      </c>
      <c r="G98">
        <f>VALUE(_xlfn.TEXTBEFORE(A98, {"L","R"}, , , , A98))</f>
        <v>948</v>
      </c>
      <c r="H98" t="str">
        <f t="shared" si="1"/>
        <v>94820250815</v>
      </c>
    </row>
    <row r="99" spans="1:8" x14ac:dyDescent="0.3">
      <c r="A99" t="s">
        <v>28</v>
      </c>
      <c r="B99" s="1">
        <v>45885</v>
      </c>
      <c r="C99">
        <v>16</v>
      </c>
      <c r="D99">
        <v>3</v>
      </c>
      <c r="G99">
        <f>VALUE(_xlfn.TEXTBEFORE(A99, {"L","R"}, , , , A99))</f>
        <v>948</v>
      </c>
      <c r="H99" t="str">
        <f t="shared" si="1"/>
        <v>94820250816</v>
      </c>
    </row>
    <row r="100" spans="1:8" x14ac:dyDescent="0.3">
      <c r="A100" t="s">
        <v>28</v>
      </c>
      <c r="B100" s="1">
        <v>45889</v>
      </c>
      <c r="C100">
        <v>16</v>
      </c>
      <c r="D100">
        <v>3</v>
      </c>
      <c r="G100">
        <f>VALUE(_xlfn.TEXTBEFORE(A100, {"L","R"}, , , , A100))</f>
        <v>948</v>
      </c>
      <c r="H100" t="str">
        <f t="shared" si="1"/>
        <v>94820250820</v>
      </c>
    </row>
    <row r="101" spans="1:8" x14ac:dyDescent="0.3">
      <c r="A101" t="s">
        <v>28</v>
      </c>
      <c r="B101" s="1">
        <v>45890</v>
      </c>
      <c r="C101">
        <v>16</v>
      </c>
      <c r="D101">
        <v>5</v>
      </c>
      <c r="G101">
        <f>VALUE(_xlfn.TEXTBEFORE(A101, {"L","R"}, , , , A101))</f>
        <v>948</v>
      </c>
      <c r="H101" t="str">
        <f t="shared" si="1"/>
        <v>94820250821</v>
      </c>
    </row>
    <row r="102" spans="1:8" x14ac:dyDescent="0.3">
      <c r="A102" t="s">
        <v>28</v>
      </c>
      <c r="B102" s="1">
        <v>45891</v>
      </c>
      <c r="C102">
        <v>16</v>
      </c>
      <c r="D102">
        <v>10</v>
      </c>
      <c r="G102">
        <f>VALUE(_xlfn.TEXTBEFORE(A102, {"L","R"}, , , , A102))</f>
        <v>948</v>
      </c>
      <c r="H102" t="str">
        <f t="shared" si="1"/>
        <v>94820250822</v>
      </c>
    </row>
    <row r="103" spans="1:8" x14ac:dyDescent="0.3">
      <c r="A103" t="s">
        <v>28</v>
      </c>
      <c r="B103" s="1">
        <v>45896</v>
      </c>
      <c r="C103">
        <v>8.6999999999999993</v>
      </c>
      <c r="D103">
        <v>3</v>
      </c>
      <c r="G103">
        <f>VALUE(_xlfn.TEXTBEFORE(A103, {"L","R"}, , , , A103))</f>
        <v>948</v>
      </c>
      <c r="H103" t="str">
        <f t="shared" si="1"/>
        <v>94820250827</v>
      </c>
    </row>
    <row r="104" spans="1:8" x14ac:dyDescent="0.3">
      <c r="A104" t="s">
        <v>28</v>
      </c>
      <c r="B104" s="1">
        <v>45897</v>
      </c>
      <c r="C104">
        <v>8.6999999999999993</v>
      </c>
      <c r="D104">
        <v>5</v>
      </c>
      <c r="G104">
        <f>VALUE(_xlfn.TEXTBEFORE(A104, {"L","R"}, , , , A104))</f>
        <v>948</v>
      </c>
      <c r="H104" t="str">
        <f t="shared" si="1"/>
        <v>94820250828</v>
      </c>
    </row>
    <row r="105" spans="1:8" x14ac:dyDescent="0.3">
      <c r="A105" t="s">
        <v>29</v>
      </c>
      <c r="B105" s="1">
        <v>45923</v>
      </c>
      <c r="C105">
        <v>66</v>
      </c>
      <c r="D105">
        <v>10</v>
      </c>
      <c r="G105">
        <f>VALUE(_xlfn.TEXTBEFORE(A105, {"L","R"}, , , , A105))</f>
        <v>949</v>
      </c>
      <c r="H105" t="str">
        <f t="shared" si="1"/>
        <v>94920250923</v>
      </c>
    </row>
    <row r="106" spans="1:8" x14ac:dyDescent="0.3">
      <c r="A106" t="s">
        <v>29</v>
      </c>
      <c r="B106" s="1">
        <v>45928</v>
      </c>
      <c r="C106">
        <v>90</v>
      </c>
      <c r="D106">
        <v>3</v>
      </c>
      <c r="G106">
        <f>VALUE(_xlfn.TEXTBEFORE(A106, {"L","R"}, , , , A106))</f>
        <v>949</v>
      </c>
      <c r="H106" t="str">
        <f t="shared" si="1"/>
        <v>94920250928</v>
      </c>
    </row>
    <row r="107" spans="1:8" x14ac:dyDescent="0.3">
      <c r="A107" t="s">
        <v>29</v>
      </c>
      <c r="B107" s="1">
        <v>45929</v>
      </c>
      <c r="C107">
        <v>90</v>
      </c>
      <c r="D107">
        <v>5</v>
      </c>
      <c r="G107">
        <f>VALUE(_xlfn.TEXTBEFORE(A107, {"L","R"}, , , , A107))</f>
        <v>949</v>
      </c>
      <c r="H107" t="str">
        <f t="shared" si="1"/>
        <v>94920250929</v>
      </c>
    </row>
    <row r="108" spans="1:8" x14ac:dyDescent="0.3">
      <c r="A108" t="s">
        <v>29</v>
      </c>
      <c r="B108" s="1">
        <v>45930</v>
      </c>
      <c r="C108">
        <v>90</v>
      </c>
      <c r="D108">
        <v>10</v>
      </c>
      <c r="G108">
        <f>VALUE(_xlfn.TEXTBEFORE(A108, {"L","R"}, , , , A108))</f>
        <v>949</v>
      </c>
      <c r="H108" t="str">
        <f t="shared" si="1"/>
        <v>94920250930</v>
      </c>
    </row>
    <row r="109" spans="1:8" x14ac:dyDescent="0.3">
      <c r="A109" t="s">
        <v>29</v>
      </c>
      <c r="B109" s="1">
        <v>45937</v>
      </c>
      <c r="C109">
        <v>35</v>
      </c>
      <c r="D109">
        <v>3</v>
      </c>
      <c r="G109">
        <f>VALUE(_xlfn.TEXTBEFORE(A109, {"L","R"}, , , , A109))</f>
        <v>949</v>
      </c>
      <c r="H109" t="str">
        <f t="shared" si="1"/>
        <v>94920251007</v>
      </c>
    </row>
    <row r="110" spans="1:8" x14ac:dyDescent="0.3">
      <c r="A110" t="s">
        <v>29</v>
      </c>
      <c r="B110" s="1">
        <v>45939</v>
      </c>
      <c r="C110">
        <v>35</v>
      </c>
      <c r="D110">
        <v>5</v>
      </c>
      <c r="G110">
        <f>VALUE(_xlfn.TEXTBEFORE(A110, {"L","R"}, , , , A110))</f>
        <v>949</v>
      </c>
      <c r="H110" t="str">
        <f t="shared" si="1"/>
        <v>94920251009</v>
      </c>
    </row>
    <row r="111" spans="1:8" x14ac:dyDescent="0.3">
      <c r="A111" t="s">
        <v>29</v>
      </c>
      <c r="B111" s="1">
        <v>45947</v>
      </c>
      <c r="C111">
        <v>26</v>
      </c>
      <c r="D111">
        <v>3</v>
      </c>
      <c r="G111">
        <f>VALUE(_xlfn.TEXTBEFORE(A111, {"L","R"}, , , , A111))</f>
        <v>949</v>
      </c>
      <c r="H111" t="str">
        <f t="shared" si="1"/>
        <v>94920251017</v>
      </c>
    </row>
    <row r="112" spans="1:8" x14ac:dyDescent="0.3">
      <c r="A112" t="s">
        <v>29</v>
      </c>
      <c r="B112" s="1">
        <v>45948</v>
      </c>
      <c r="C112">
        <v>26</v>
      </c>
      <c r="D112">
        <v>5</v>
      </c>
      <c r="G112">
        <f>VALUE(_xlfn.TEXTBEFORE(A112, {"L","R"}, , , , A112))</f>
        <v>949</v>
      </c>
      <c r="H112" t="str">
        <f t="shared" si="1"/>
        <v>94920251018</v>
      </c>
    </row>
    <row r="113" spans="1:8" x14ac:dyDescent="0.3">
      <c r="A113" t="s">
        <v>29</v>
      </c>
      <c r="B113" s="1">
        <v>45955</v>
      </c>
      <c r="C113">
        <v>16</v>
      </c>
      <c r="D113">
        <v>3</v>
      </c>
      <c r="G113">
        <f>VALUE(_xlfn.TEXTBEFORE(A113, {"L","R"}, , , , A113))</f>
        <v>949</v>
      </c>
      <c r="H113" t="str">
        <f t="shared" si="1"/>
        <v>94920251025</v>
      </c>
    </row>
    <row r="114" spans="1:8" x14ac:dyDescent="0.3">
      <c r="A114" t="s">
        <v>29</v>
      </c>
      <c r="B114" s="1">
        <v>45956</v>
      </c>
      <c r="C114">
        <v>16</v>
      </c>
      <c r="D114">
        <v>5</v>
      </c>
      <c r="G114">
        <f>VALUE(_xlfn.TEXTBEFORE(A114, {"L","R"}, , , , A114))</f>
        <v>949</v>
      </c>
      <c r="H114" t="str">
        <f t="shared" si="1"/>
        <v>94920251026</v>
      </c>
    </row>
    <row r="115" spans="1:8" x14ac:dyDescent="0.3">
      <c r="A115" t="s">
        <v>29</v>
      </c>
      <c r="B115" s="1">
        <v>45957</v>
      </c>
      <c r="C115">
        <v>16</v>
      </c>
      <c r="D115">
        <v>40</v>
      </c>
      <c r="G115">
        <f>VALUE(_xlfn.TEXTBEFORE(A115, {"L","R"}, , , , A115))</f>
        <v>949</v>
      </c>
      <c r="H115" t="str">
        <f t="shared" si="1"/>
        <v>94920251027</v>
      </c>
    </row>
    <row r="116" spans="1:8" x14ac:dyDescent="0.3">
      <c r="A116" t="s">
        <v>29</v>
      </c>
      <c r="B116" s="1">
        <v>45966</v>
      </c>
      <c r="C116">
        <v>8.6999999999999993</v>
      </c>
      <c r="D116">
        <v>3</v>
      </c>
      <c r="G116">
        <f>VALUE(_xlfn.TEXTBEFORE(A116, {"L","R"}, , , , A116))</f>
        <v>949</v>
      </c>
      <c r="H116" t="str">
        <f t="shared" si="1"/>
        <v>94920251105</v>
      </c>
    </row>
    <row r="117" spans="1:8" x14ac:dyDescent="0.3">
      <c r="A117" t="s">
        <v>29</v>
      </c>
      <c r="B117" s="1">
        <v>45968</v>
      </c>
      <c r="C117">
        <v>8.6999999999999993</v>
      </c>
      <c r="D117">
        <v>5</v>
      </c>
      <c r="G117">
        <f>VALUE(_xlfn.TEXTBEFORE(A117, {"L","R"}, , , , A117))</f>
        <v>949</v>
      </c>
      <c r="H117" t="str">
        <f t="shared" si="1"/>
        <v>94920251107</v>
      </c>
    </row>
    <row r="118" spans="1:8" x14ac:dyDescent="0.3">
      <c r="A118" t="s">
        <v>29</v>
      </c>
      <c r="B118" s="1">
        <v>45969</v>
      </c>
      <c r="C118">
        <v>8.6999999999999993</v>
      </c>
      <c r="D118">
        <v>10</v>
      </c>
      <c r="G118">
        <f>VALUE(_xlfn.TEXTBEFORE(A118, {"L","R"}, , , , A118))</f>
        <v>949</v>
      </c>
      <c r="H118" t="str">
        <f t="shared" si="1"/>
        <v>94920251108</v>
      </c>
    </row>
    <row r="119" spans="1:8" x14ac:dyDescent="0.3">
      <c r="A119" t="s">
        <v>29</v>
      </c>
      <c r="B119" s="1">
        <v>45974</v>
      </c>
      <c r="C119">
        <v>35</v>
      </c>
      <c r="D119">
        <v>5</v>
      </c>
      <c r="G119">
        <f>VALUE(_xlfn.TEXTBEFORE(A119, {"L","R"}, , , , A119))</f>
        <v>949</v>
      </c>
      <c r="H119" t="str">
        <f t="shared" si="1"/>
        <v>94920251113</v>
      </c>
    </row>
    <row r="120" spans="1:8" x14ac:dyDescent="0.3">
      <c r="A120" t="s">
        <v>29</v>
      </c>
      <c r="B120" s="1">
        <v>45975</v>
      </c>
      <c r="C120">
        <v>35</v>
      </c>
      <c r="D120">
        <v>5</v>
      </c>
      <c r="G120">
        <f>VALUE(_xlfn.TEXTBEFORE(A120, {"L","R"}, , , , A120))</f>
        <v>949</v>
      </c>
      <c r="H120" t="str">
        <f t="shared" si="1"/>
        <v>94920251114</v>
      </c>
    </row>
    <row r="121" spans="1:8" x14ac:dyDescent="0.3">
      <c r="A121" t="s">
        <v>29</v>
      </c>
      <c r="B121" s="1">
        <v>45976</v>
      </c>
      <c r="C121">
        <v>66</v>
      </c>
      <c r="D121">
        <v>5</v>
      </c>
      <c r="G121">
        <f>VALUE(_xlfn.TEXTBEFORE(A121, {"L","R"}, , , , A121))</f>
        <v>949</v>
      </c>
      <c r="H121" t="str">
        <f t="shared" si="1"/>
        <v>94920251115</v>
      </c>
    </row>
    <row r="122" spans="1:8" x14ac:dyDescent="0.3">
      <c r="A122" t="s">
        <v>29</v>
      </c>
      <c r="B122" s="1">
        <v>45981</v>
      </c>
      <c r="C122">
        <v>66</v>
      </c>
      <c r="D122">
        <v>3</v>
      </c>
      <c r="G122">
        <f>VALUE(_xlfn.TEXTBEFORE(A122, {"L","R"}, , , , A122))</f>
        <v>949</v>
      </c>
      <c r="H122" t="str">
        <f t="shared" si="1"/>
        <v>94920251120</v>
      </c>
    </row>
    <row r="123" spans="1:8" x14ac:dyDescent="0.3">
      <c r="A123" t="s">
        <v>29</v>
      </c>
      <c r="B123" s="1">
        <v>45982</v>
      </c>
      <c r="C123">
        <v>66</v>
      </c>
      <c r="D123">
        <v>5</v>
      </c>
      <c r="G123">
        <f>VALUE(_xlfn.TEXTBEFORE(A123, {"L","R"}, , , , A123))</f>
        <v>949</v>
      </c>
      <c r="H123" t="str">
        <f t="shared" si="1"/>
        <v>94920251121</v>
      </c>
    </row>
    <row r="124" spans="1:8" x14ac:dyDescent="0.3">
      <c r="A124" t="s">
        <v>29</v>
      </c>
      <c r="B124" s="1">
        <v>45983</v>
      </c>
      <c r="C124">
        <v>66</v>
      </c>
      <c r="D124">
        <v>3</v>
      </c>
      <c r="G124">
        <f>VALUE(_xlfn.TEXTBEFORE(A124, {"L","R"}, , , , A124))</f>
        <v>949</v>
      </c>
      <c r="H124" t="str">
        <f t="shared" si="1"/>
        <v>94920251122</v>
      </c>
    </row>
    <row r="125" spans="1:8" x14ac:dyDescent="0.3">
      <c r="A125" t="s">
        <v>29</v>
      </c>
      <c r="B125" s="1">
        <v>45986</v>
      </c>
      <c r="C125">
        <v>66</v>
      </c>
      <c r="D125" t="s">
        <v>24</v>
      </c>
      <c r="G125">
        <f>VALUE(_xlfn.TEXTBEFORE(A125, {"L","R"}, , , , A125))</f>
        <v>949</v>
      </c>
      <c r="H125" t="str">
        <f t="shared" si="1"/>
        <v>94920251125</v>
      </c>
    </row>
    <row r="126" spans="1:8" x14ac:dyDescent="0.3">
      <c r="A126" t="s">
        <v>29</v>
      </c>
      <c r="B126" s="1">
        <v>45995</v>
      </c>
      <c r="C126">
        <v>66</v>
      </c>
      <c r="D126" t="s">
        <v>27</v>
      </c>
      <c r="G126">
        <f>VALUE(_xlfn.TEXTBEFORE(A126, {"L","R"}, , , , A126))</f>
        <v>949</v>
      </c>
      <c r="H126" t="str">
        <f t="shared" si="1"/>
        <v>94920251204</v>
      </c>
    </row>
    <row r="127" spans="1:8" x14ac:dyDescent="0.3">
      <c r="A127" t="s">
        <v>29</v>
      </c>
      <c r="B127" s="1">
        <v>46008</v>
      </c>
      <c r="C127">
        <v>66</v>
      </c>
      <c r="D127" t="s">
        <v>30</v>
      </c>
      <c r="G127">
        <f>VALUE(_xlfn.TEXTBEFORE(A127, {"L","R"}, , , , A127))</f>
        <v>949</v>
      </c>
      <c r="H127" t="str">
        <f t="shared" si="1"/>
        <v>94920251217</v>
      </c>
    </row>
    <row r="128" spans="1:8" x14ac:dyDescent="0.3">
      <c r="A128" t="s">
        <v>29</v>
      </c>
      <c r="B128" s="1">
        <v>46022</v>
      </c>
      <c r="C128">
        <v>90</v>
      </c>
      <c r="D128">
        <v>10</v>
      </c>
      <c r="G128">
        <f>VALUE(_xlfn.TEXTBEFORE(A128, {"L","R"}, , , , A128))</f>
        <v>949</v>
      </c>
      <c r="H128" t="str">
        <f t="shared" si="1"/>
        <v>94920251231</v>
      </c>
    </row>
    <row r="129" spans="1:8" x14ac:dyDescent="0.3">
      <c r="A129" t="s">
        <v>29</v>
      </c>
      <c r="B129" s="1">
        <v>46029</v>
      </c>
      <c r="C129">
        <v>35</v>
      </c>
      <c r="D129">
        <v>10</v>
      </c>
      <c r="G129">
        <f>VALUE(_xlfn.TEXTBEFORE(A129, {"L","R"}, , , , A129))</f>
        <v>949</v>
      </c>
      <c r="H129" t="str">
        <f t="shared" si="1"/>
        <v>94920260107</v>
      </c>
    </row>
    <row r="130" spans="1:8" x14ac:dyDescent="0.3">
      <c r="A130" t="s">
        <v>29</v>
      </c>
      <c r="B130" s="1">
        <v>46030</v>
      </c>
      <c r="C130">
        <v>35</v>
      </c>
      <c r="D130">
        <v>10</v>
      </c>
      <c r="G130">
        <f>VALUE(_xlfn.TEXTBEFORE(A130, {"L","R"}, , , , A130))</f>
        <v>949</v>
      </c>
      <c r="H130" t="str">
        <f t="shared" si="1"/>
        <v>94920260108</v>
      </c>
    </row>
    <row r="131" spans="1:8" x14ac:dyDescent="0.3">
      <c r="A131" t="s">
        <v>29</v>
      </c>
      <c r="B131" s="1">
        <v>46036</v>
      </c>
      <c r="C131">
        <v>26</v>
      </c>
      <c r="D131">
        <v>3</v>
      </c>
      <c r="G131">
        <f>VALUE(_xlfn.TEXTBEFORE(A131, {"L","R"}, , , , A131))</f>
        <v>949</v>
      </c>
      <c r="H131" t="str">
        <f t="shared" ref="H131:H194" si="2">LEFT(A131, LEN(A131)-1) &amp; TEXT(B131, "yyyymmdd")</f>
        <v>94920260114</v>
      </c>
    </row>
    <row r="132" spans="1:8" x14ac:dyDescent="0.3">
      <c r="A132" t="s">
        <v>29</v>
      </c>
      <c r="B132" s="1">
        <v>46037</v>
      </c>
      <c r="C132">
        <v>26</v>
      </c>
      <c r="D132">
        <v>10</v>
      </c>
      <c r="G132">
        <f>VALUE(_xlfn.TEXTBEFORE(A132, {"L","R"}, , , , A132))</f>
        <v>949</v>
      </c>
      <c r="H132" t="str">
        <f t="shared" si="2"/>
        <v>94920260115</v>
      </c>
    </row>
    <row r="133" spans="1:8" x14ac:dyDescent="0.3">
      <c r="A133" t="s">
        <v>29</v>
      </c>
      <c r="B133" s="1">
        <v>46045</v>
      </c>
      <c r="C133">
        <v>66</v>
      </c>
      <c r="D133">
        <v>5</v>
      </c>
      <c r="G133">
        <f>VALUE(_xlfn.TEXTBEFORE(A133, {"L","R"}, , , , A133))</f>
        <v>949</v>
      </c>
      <c r="H133" t="str">
        <f t="shared" si="2"/>
        <v>94920260123</v>
      </c>
    </row>
    <row r="134" spans="1:8" x14ac:dyDescent="0.3">
      <c r="A134" t="s">
        <v>31</v>
      </c>
      <c r="B134" s="1">
        <v>45921</v>
      </c>
      <c r="C134">
        <v>16</v>
      </c>
      <c r="D134">
        <v>5</v>
      </c>
      <c r="G134">
        <f>VALUE(_xlfn.TEXTBEFORE(A134, {"L","R"}, , , , A134))</f>
        <v>950</v>
      </c>
      <c r="H134" t="str">
        <f t="shared" si="2"/>
        <v>95020250921</v>
      </c>
    </row>
    <row r="135" spans="1:8" x14ac:dyDescent="0.3">
      <c r="A135" t="s">
        <v>31</v>
      </c>
      <c r="B135" s="1">
        <v>45923</v>
      </c>
      <c r="C135">
        <v>16</v>
      </c>
      <c r="D135">
        <v>10</v>
      </c>
      <c r="G135">
        <f>VALUE(_xlfn.TEXTBEFORE(A135, {"L","R"}, , , , A135))</f>
        <v>950</v>
      </c>
      <c r="H135" t="str">
        <f t="shared" si="2"/>
        <v>95020250923</v>
      </c>
    </row>
    <row r="136" spans="1:8" x14ac:dyDescent="0.3">
      <c r="A136" t="s">
        <v>31</v>
      </c>
      <c r="B136" s="1">
        <v>45942</v>
      </c>
      <c r="C136">
        <v>66</v>
      </c>
      <c r="D136" t="s">
        <v>30</v>
      </c>
      <c r="G136">
        <f>VALUE(_xlfn.TEXTBEFORE(A136, {"L","R"}, , , , A136))</f>
        <v>950</v>
      </c>
      <c r="H136" t="str">
        <f t="shared" si="2"/>
        <v>95020251012</v>
      </c>
    </row>
    <row r="137" spans="1:8" x14ac:dyDescent="0.3">
      <c r="A137" t="s">
        <v>31</v>
      </c>
      <c r="B137" s="1">
        <v>45952</v>
      </c>
      <c r="C137">
        <v>66</v>
      </c>
      <c r="D137" t="s">
        <v>24</v>
      </c>
      <c r="G137">
        <f>VALUE(_xlfn.TEXTBEFORE(A137, {"L","R"}, , , , A137))</f>
        <v>950</v>
      </c>
      <c r="H137" t="str">
        <f t="shared" si="2"/>
        <v>95020251022</v>
      </c>
    </row>
    <row r="138" spans="1:8" x14ac:dyDescent="0.3">
      <c r="A138" t="s">
        <v>31</v>
      </c>
      <c r="B138" s="1">
        <v>45955</v>
      </c>
      <c r="C138">
        <v>66</v>
      </c>
      <c r="D138" t="s">
        <v>27</v>
      </c>
      <c r="G138">
        <f>VALUE(_xlfn.TEXTBEFORE(A138, {"L","R"}, , , , A138))</f>
        <v>950</v>
      </c>
      <c r="H138" t="str">
        <f t="shared" si="2"/>
        <v>95020251025</v>
      </c>
    </row>
    <row r="139" spans="1:8" x14ac:dyDescent="0.3">
      <c r="A139" t="s">
        <v>31</v>
      </c>
      <c r="B139" s="1">
        <v>45958</v>
      </c>
      <c r="C139">
        <v>66</v>
      </c>
      <c r="D139" t="s">
        <v>30</v>
      </c>
      <c r="G139">
        <f>VALUE(_xlfn.TEXTBEFORE(A139, {"L","R"}, , , , A139))</f>
        <v>950</v>
      </c>
      <c r="H139" t="str">
        <f t="shared" si="2"/>
        <v>95020251028</v>
      </c>
    </row>
    <row r="140" spans="1:8" x14ac:dyDescent="0.3">
      <c r="A140" t="s">
        <v>31</v>
      </c>
      <c r="B140" s="1">
        <v>45966</v>
      </c>
      <c r="C140">
        <v>35</v>
      </c>
      <c r="D140" t="s">
        <v>24</v>
      </c>
      <c r="G140">
        <f>VALUE(_xlfn.TEXTBEFORE(A140, {"L","R"}, , , , A140))</f>
        <v>950</v>
      </c>
      <c r="H140" t="str">
        <f t="shared" si="2"/>
        <v>95020251105</v>
      </c>
    </row>
    <row r="141" spans="1:8" x14ac:dyDescent="0.3">
      <c r="A141" t="s">
        <v>31</v>
      </c>
      <c r="B141" s="1">
        <v>45968</v>
      </c>
      <c r="C141">
        <v>35</v>
      </c>
      <c r="D141" t="s">
        <v>27</v>
      </c>
      <c r="G141">
        <f>VALUE(_xlfn.TEXTBEFORE(A141, {"L","R"}, , , , A141))</f>
        <v>950</v>
      </c>
      <c r="H141" t="str">
        <f t="shared" si="2"/>
        <v>95020251107</v>
      </c>
    </row>
    <row r="142" spans="1:8" x14ac:dyDescent="0.3">
      <c r="A142" t="s">
        <v>31</v>
      </c>
      <c r="B142" s="1">
        <v>45971</v>
      </c>
      <c r="C142">
        <v>35</v>
      </c>
      <c r="D142" t="s">
        <v>30</v>
      </c>
      <c r="G142">
        <f>VALUE(_xlfn.TEXTBEFORE(A142, {"L","R"}, , , , A142))</f>
        <v>950</v>
      </c>
      <c r="H142" t="str">
        <f t="shared" si="2"/>
        <v>95020251110</v>
      </c>
    </row>
    <row r="143" spans="1:8" x14ac:dyDescent="0.3">
      <c r="A143" t="s">
        <v>31</v>
      </c>
      <c r="B143" s="1">
        <v>45982</v>
      </c>
      <c r="C143">
        <v>16</v>
      </c>
      <c r="D143" t="s">
        <v>27</v>
      </c>
      <c r="G143">
        <f>VALUE(_xlfn.TEXTBEFORE(A143, {"L","R"}, , , , A143))</f>
        <v>950</v>
      </c>
      <c r="H143" t="str">
        <f t="shared" si="2"/>
        <v>95020251121</v>
      </c>
    </row>
    <row r="144" spans="1:8" x14ac:dyDescent="0.3">
      <c r="A144" t="s">
        <v>31</v>
      </c>
      <c r="B144" s="1">
        <v>45995</v>
      </c>
      <c r="C144">
        <v>16</v>
      </c>
      <c r="D144" t="s">
        <v>30</v>
      </c>
      <c r="G144">
        <f>VALUE(_xlfn.TEXTBEFORE(A144, {"L","R"}, , , , A144))</f>
        <v>950</v>
      </c>
      <c r="H144" t="str">
        <f t="shared" si="2"/>
        <v>95020251204</v>
      </c>
    </row>
    <row r="145" spans="1:8" x14ac:dyDescent="0.3">
      <c r="A145" t="s">
        <v>31</v>
      </c>
      <c r="B145" s="1">
        <v>46006</v>
      </c>
      <c r="C145">
        <v>66</v>
      </c>
      <c r="D145">
        <v>3</v>
      </c>
      <c r="G145">
        <f>VALUE(_xlfn.TEXTBEFORE(A145, {"L","R"}, , , , A145))</f>
        <v>950</v>
      </c>
      <c r="H145" t="str">
        <f t="shared" si="2"/>
        <v>95020251215</v>
      </c>
    </row>
    <row r="146" spans="1:8" x14ac:dyDescent="0.3">
      <c r="A146" t="s">
        <v>31</v>
      </c>
      <c r="B146" s="1">
        <v>46008</v>
      </c>
      <c r="C146">
        <v>66</v>
      </c>
      <c r="D146">
        <v>3</v>
      </c>
      <c r="G146">
        <f>VALUE(_xlfn.TEXTBEFORE(A146, {"L","R"}, , , , A146))</f>
        <v>950</v>
      </c>
      <c r="H146" t="str">
        <f t="shared" si="2"/>
        <v>95020251217</v>
      </c>
    </row>
    <row r="147" spans="1:8" x14ac:dyDescent="0.3">
      <c r="A147" t="s">
        <v>31</v>
      </c>
      <c r="B147" s="1">
        <v>46009</v>
      </c>
      <c r="C147">
        <v>66</v>
      </c>
      <c r="D147" t="s">
        <v>27</v>
      </c>
      <c r="G147">
        <f>VALUE(_xlfn.TEXTBEFORE(A147, {"L","R"}, , , , A147))</f>
        <v>950</v>
      </c>
      <c r="H147" t="str">
        <f t="shared" si="2"/>
        <v>95020251218</v>
      </c>
    </row>
    <row r="148" spans="1:8" x14ac:dyDescent="0.3">
      <c r="A148" t="s">
        <v>31</v>
      </c>
      <c r="B148" s="1">
        <v>46021</v>
      </c>
      <c r="C148">
        <v>90</v>
      </c>
      <c r="D148">
        <v>5</v>
      </c>
      <c r="G148">
        <f>VALUE(_xlfn.TEXTBEFORE(A148, {"L","R"}, , , , A148))</f>
        <v>950</v>
      </c>
      <c r="H148" t="str">
        <f t="shared" si="2"/>
        <v>95020251230</v>
      </c>
    </row>
    <row r="149" spans="1:8" x14ac:dyDescent="0.3">
      <c r="A149" t="s">
        <v>31</v>
      </c>
      <c r="B149" s="1">
        <v>46022</v>
      </c>
      <c r="C149">
        <v>90</v>
      </c>
      <c r="D149">
        <v>10</v>
      </c>
      <c r="G149">
        <f>VALUE(_xlfn.TEXTBEFORE(A149, {"L","R"}, , , , A149))</f>
        <v>950</v>
      </c>
      <c r="H149" t="str">
        <f t="shared" si="2"/>
        <v>95020251231</v>
      </c>
    </row>
    <row r="150" spans="1:8" x14ac:dyDescent="0.3">
      <c r="A150" t="s">
        <v>31</v>
      </c>
      <c r="B150" s="1">
        <v>46034</v>
      </c>
      <c r="C150">
        <v>66</v>
      </c>
      <c r="D150" t="s">
        <v>24</v>
      </c>
      <c r="G150">
        <f>VALUE(_xlfn.TEXTBEFORE(A150, {"L","R"}, , , , A150))</f>
        <v>950</v>
      </c>
      <c r="H150" t="str">
        <f t="shared" si="2"/>
        <v>95020260112</v>
      </c>
    </row>
    <row r="151" spans="1:8" x14ac:dyDescent="0.3">
      <c r="A151" t="s">
        <v>31</v>
      </c>
      <c r="B151" s="1">
        <v>46035</v>
      </c>
      <c r="C151">
        <v>66</v>
      </c>
      <c r="D151" t="s">
        <v>27</v>
      </c>
      <c r="G151">
        <f>VALUE(_xlfn.TEXTBEFORE(A151, {"L","R"}, , , , A151))</f>
        <v>950</v>
      </c>
      <c r="H151" t="str">
        <f t="shared" si="2"/>
        <v>95020260113</v>
      </c>
    </row>
    <row r="152" spans="1:8" x14ac:dyDescent="0.3">
      <c r="A152" t="s">
        <v>31</v>
      </c>
      <c r="B152" s="1">
        <v>46036</v>
      </c>
      <c r="C152">
        <v>66</v>
      </c>
      <c r="D152" t="s">
        <v>30</v>
      </c>
      <c r="G152">
        <f>VALUE(_xlfn.TEXTBEFORE(A152, {"L","R"}, , , , A152))</f>
        <v>950</v>
      </c>
      <c r="H152" t="str">
        <f t="shared" si="2"/>
        <v>95020260114</v>
      </c>
    </row>
    <row r="153" spans="1:8" x14ac:dyDescent="0.3">
      <c r="A153" t="s">
        <v>31</v>
      </c>
      <c r="B153" s="1">
        <v>45882</v>
      </c>
      <c r="C153">
        <v>66</v>
      </c>
      <c r="D153">
        <v>3</v>
      </c>
      <c r="G153">
        <f>VALUE(_xlfn.TEXTBEFORE(A153, {"L","R"}, , , , A153))</f>
        <v>950</v>
      </c>
      <c r="H153" t="str">
        <f t="shared" si="2"/>
        <v>95020250813</v>
      </c>
    </row>
    <row r="154" spans="1:8" x14ac:dyDescent="0.3">
      <c r="A154" t="s">
        <v>31</v>
      </c>
      <c r="B154" s="1">
        <v>45883</v>
      </c>
      <c r="C154">
        <v>66</v>
      </c>
      <c r="D154">
        <v>5</v>
      </c>
      <c r="G154">
        <f>VALUE(_xlfn.TEXTBEFORE(A154, {"L","R"}, , , , A154))</f>
        <v>950</v>
      </c>
      <c r="H154" t="str">
        <f t="shared" si="2"/>
        <v>95020250814</v>
      </c>
    </row>
    <row r="155" spans="1:8" x14ac:dyDescent="0.3">
      <c r="A155" t="s">
        <v>31</v>
      </c>
      <c r="B155" s="1">
        <v>45884</v>
      </c>
      <c r="C155">
        <v>66</v>
      </c>
      <c r="D155">
        <v>10</v>
      </c>
      <c r="G155">
        <f>VALUE(_xlfn.TEXTBEFORE(A155, {"L","R"}, , , , A155))</f>
        <v>950</v>
      </c>
      <c r="H155" t="str">
        <f t="shared" si="2"/>
        <v>95020250815</v>
      </c>
    </row>
    <row r="156" spans="1:8" x14ac:dyDescent="0.3">
      <c r="A156" t="s">
        <v>31</v>
      </c>
      <c r="B156" s="1">
        <v>45889</v>
      </c>
      <c r="C156">
        <v>90</v>
      </c>
      <c r="D156">
        <v>3</v>
      </c>
      <c r="G156">
        <f>VALUE(_xlfn.TEXTBEFORE(A156, {"L","R"}, , , , A156))</f>
        <v>950</v>
      </c>
      <c r="H156" t="str">
        <f t="shared" si="2"/>
        <v>95020250820</v>
      </c>
    </row>
    <row r="157" spans="1:8" x14ac:dyDescent="0.3">
      <c r="A157" t="s">
        <v>31</v>
      </c>
      <c r="B157" s="1">
        <v>45890</v>
      </c>
      <c r="C157">
        <v>90</v>
      </c>
      <c r="D157">
        <v>5</v>
      </c>
      <c r="G157">
        <f>VALUE(_xlfn.TEXTBEFORE(A157, {"L","R"}, , , , A157))</f>
        <v>950</v>
      </c>
      <c r="H157" t="str">
        <f t="shared" si="2"/>
        <v>95020250821</v>
      </c>
    </row>
    <row r="158" spans="1:8" x14ac:dyDescent="0.3">
      <c r="A158" t="s">
        <v>31</v>
      </c>
      <c r="B158" s="1">
        <v>45891</v>
      </c>
      <c r="C158">
        <v>90</v>
      </c>
      <c r="D158">
        <v>10</v>
      </c>
      <c r="G158">
        <f>VALUE(_xlfn.TEXTBEFORE(A158, {"L","R"}, , , , A158))</f>
        <v>950</v>
      </c>
      <c r="H158" t="str">
        <f t="shared" si="2"/>
        <v>95020250822</v>
      </c>
    </row>
    <row r="159" spans="1:8" x14ac:dyDescent="0.3">
      <c r="A159" t="s">
        <v>31</v>
      </c>
      <c r="B159" s="1">
        <v>45896</v>
      </c>
      <c r="C159">
        <v>35</v>
      </c>
      <c r="D159">
        <v>3</v>
      </c>
      <c r="G159">
        <f>VALUE(_xlfn.TEXTBEFORE(A159, {"L","R"}, , , , A159))</f>
        <v>950</v>
      </c>
      <c r="H159" t="str">
        <f t="shared" si="2"/>
        <v>95020250827</v>
      </c>
    </row>
    <row r="160" spans="1:8" x14ac:dyDescent="0.3">
      <c r="A160" t="s">
        <v>31</v>
      </c>
      <c r="B160" s="1">
        <v>45897</v>
      </c>
      <c r="C160">
        <v>35</v>
      </c>
      <c r="D160">
        <v>5</v>
      </c>
      <c r="G160">
        <f>VALUE(_xlfn.TEXTBEFORE(A160, {"L","R"}, , , , A160))</f>
        <v>950</v>
      </c>
      <c r="H160" t="str">
        <f t="shared" si="2"/>
        <v>95020250828</v>
      </c>
    </row>
    <row r="161" spans="1:8" x14ac:dyDescent="0.3">
      <c r="A161" t="s">
        <v>31</v>
      </c>
      <c r="B161" s="1">
        <v>45898</v>
      </c>
      <c r="C161">
        <v>35</v>
      </c>
      <c r="D161">
        <v>10</v>
      </c>
      <c r="G161">
        <f>VALUE(_xlfn.TEXTBEFORE(A161, {"L","R"}, , , , A161))</f>
        <v>950</v>
      </c>
      <c r="H161" t="str">
        <f t="shared" si="2"/>
        <v>95020250829</v>
      </c>
    </row>
    <row r="162" spans="1:8" x14ac:dyDescent="0.3">
      <c r="A162" t="s">
        <v>31</v>
      </c>
      <c r="B162" s="1">
        <v>45909</v>
      </c>
      <c r="C162">
        <v>26</v>
      </c>
      <c r="D162">
        <v>3</v>
      </c>
      <c r="G162">
        <f>VALUE(_xlfn.TEXTBEFORE(A162, {"L","R"}, , , , A162))</f>
        <v>950</v>
      </c>
      <c r="H162" t="str">
        <f t="shared" si="2"/>
        <v>95020250909</v>
      </c>
    </row>
    <row r="163" spans="1:8" x14ac:dyDescent="0.3">
      <c r="A163" t="s">
        <v>31</v>
      </c>
      <c r="B163" s="1">
        <v>45910</v>
      </c>
      <c r="C163">
        <v>26</v>
      </c>
      <c r="D163">
        <v>5</v>
      </c>
      <c r="G163">
        <f>VALUE(_xlfn.TEXTBEFORE(A163, {"L","R"}, , , , A163))</f>
        <v>950</v>
      </c>
      <c r="H163" t="str">
        <f t="shared" si="2"/>
        <v>95020250910</v>
      </c>
    </row>
    <row r="164" spans="1:8" x14ac:dyDescent="0.3">
      <c r="A164" t="s">
        <v>31</v>
      </c>
      <c r="B164" s="1">
        <v>45911</v>
      </c>
      <c r="C164">
        <v>26</v>
      </c>
      <c r="D164">
        <v>10</v>
      </c>
      <c r="G164">
        <f>VALUE(_xlfn.TEXTBEFORE(A164, {"L","R"}, , , , A164))</f>
        <v>950</v>
      </c>
      <c r="H164" t="str">
        <f t="shared" si="2"/>
        <v>95020250911</v>
      </c>
    </row>
    <row r="165" spans="1:8" x14ac:dyDescent="0.3">
      <c r="A165" t="s">
        <v>32</v>
      </c>
      <c r="B165" s="1">
        <v>45946</v>
      </c>
      <c r="C165">
        <v>66</v>
      </c>
      <c r="D165">
        <v>3</v>
      </c>
      <c r="G165">
        <f>VALUE(_xlfn.TEXTBEFORE(A165, {"L","R"}, , , , A165))</f>
        <v>994</v>
      </c>
      <c r="H165" t="str">
        <f t="shared" si="2"/>
        <v>99420251016</v>
      </c>
    </row>
    <row r="166" spans="1:8" x14ac:dyDescent="0.3">
      <c r="A166" t="s">
        <v>32</v>
      </c>
      <c r="B166" s="1">
        <v>45948</v>
      </c>
      <c r="C166">
        <v>66</v>
      </c>
      <c r="D166">
        <v>5</v>
      </c>
      <c r="G166">
        <f>VALUE(_xlfn.TEXTBEFORE(A166, {"L","R"}, , , , A166))</f>
        <v>994</v>
      </c>
      <c r="H166" t="str">
        <f t="shared" si="2"/>
        <v>99420251018</v>
      </c>
    </row>
    <row r="167" spans="1:8" x14ac:dyDescent="0.3">
      <c r="A167" t="s">
        <v>32</v>
      </c>
      <c r="B167" s="1">
        <v>45949</v>
      </c>
      <c r="C167">
        <v>66</v>
      </c>
      <c r="D167">
        <v>10</v>
      </c>
      <c r="G167">
        <f>VALUE(_xlfn.TEXTBEFORE(A167, {"L","R"}, , , , A167))</f>
        <v>994</v>
      </c>
      <c r="H167" t="str">
        <f t="shared" si="2"/>
        <v>99420251019</v>
      </c>
    </row>
    <row r="168" spans="1:8" x14ac:dyDescent="0.3">
      <c r="A168" t="s">
        <v>32</v>
      </c>
      <c r="B168" s="1">
        <v>45955</v>
      </c>
      <c r="C168">
        <v>90</v>
      </c>
      <c r="D168">
        <v>3</v>
      </c>
      <c r="G168">
        <f>VALUE(_xlfn.TEXTBEFORE(A168, {"L","R"}, , , , A168))</f>
        <v>994</v>
      </c>
      <c r="H168" t="str">
        <f t="shared" si="2"/>
        <v>99420251025</v>
      </c>
    </row>
    <row r="169" spans="1:8" x14ac:dyDescent="0.3">
      <c r="A169" t="s">
        <v>32</v>
      </c>
      <c r="B169" s="1">
        <v>45956</v>
      </c>
      <c r="C169">
        <v>90</v>
      </c>
      <c r="D169">
        <v>5</v>
      </c>
      <c r="G169">
        <f>VALUE(_xlfn.TEXTBEFORE(A169, {"L","R"}, , , , A169))</f>
        <v>994</v>
      </c>
      <c r="H169" t="str">
        <f t="shared" si="2"/>
        <v>99420251026</v>
      </c>
    </row>
    <row r="170" spans="1:8" x14ac:dyDescent="0.3">
      <c r="A170" t="s">
        <v>32</v>
      </c>
      <c r="B170" s="1">
        <v>45957</v>
      </c>
      <c r="C170">
        <v>90</v>
      </c>
      <c r="D170">
        <v>10</v>
      </c>
      <c r="G170">
        <f>VALUE(_xlfn.TEXTBEFORE(A170, {"L","R"}, , , , A170))</f>
        <v>994</v>
      </c>
      <c r="H170" t="str">
        <f t="shared" si="2"/>
        <v>99420251027</v>
      </c>
    </row>
    <row r="171" spans="1:8" x14ac:dyDescent="0.3">
      <c r="A171" t="s">
        <v>32</v>
      </c>
      <c r="B171" s="1">
        <v>45962</v>
      </c>
      <c r="C171">
        <v>35</v>
      </c>
      <c r="D171">
        <v>3</v>
      </c>
      <c r="G171">
        <f>VALUE(_xlfn.TEXTBEFORE(A171, {"L","R"}, , , , A171))</f>
        <v>994</v>
      </c>
      <c r="H171" t="str">
        <f t="shared" si="2"/>
        <v>99420251101</v>
      </c>
    </row>
    <row r="172" spans="1:8" x14ac:dyDescent="0.3">
      <c r="A172" t="s">
        <v>32</v>
      </c>
      <c r="B172" s="1">
        <v>45964</v>
      </c>
      <c r="C172">
        <v>35</v>
      </c>
      <c r="D172">
        <v>5</v>
      </c>
      <c r="G172">
        <f>VALUE(_xlfn.TEXTBEFORE(A172, {"L","R"}, , , , A172))</f>
        <v>994</v>
      </c>
      <c r="H172" t="str">
        <f t="shared" si="2"/>
        <v>99420251103</v>
      </c>
    </row>
    <row r="173" spans="1:8" x14ac:dyDescent="0.3">
      <c r="A173" t="s">
        <v>32</v>
      </c>
      <c r="B173" s="1">
        <v>45980</v>
      </c>
      <c r="C173">
        <v>16</v>
      </c>
      <c r="D173">
        <v>3</v>
      </c>
      <c r="G173">
        <f>VALUE(_xlfn.TEXTBEFORE(A173, {"L","R"}, , , , A173))</f>
        <v>994</v>
      </c>
      <c r="H173" t="str">
        <f t="shared" si="2"/>
        <v>99420251119</v>
      </c>
    </row>
    <row r="174" spans="1:8" x14ac:dyDescent="0.3">
      <c r="A174" t="s">
        <v>32</v>
      </c>
      <c r="B174" s="1">
        <v>45981</v>
      </c>
      <c r="C174">
        <v>16</v>
      </c>
      <c r="D174">
        <v>5</v>
      </c>
      <c r="G174">
        <f>VALUE(_xlfn.TEXTBEFORE(A174, {"L","R"}, , , , A174))</f>
        <v>994</v>
      </c>
      <c r="H174" t="str">
        <f t="shared" si="2"/>
        <v>99420251120</v>
      </c>
    </row>
    <row r="175" spans="1:8" x14ac:dyDescent="0.3">
      <c r="A175" t="s">
        <v>32</v>
      </c>
      <c r="B175" s="1">
        <v>45982</v>
      </c>
      <c r="C175">
        <v>16</v>
      </c>
      <c r="D175">
        <v>5</v>
      </c>
      <c r="G175">
        <f>VALUE(_xlfn.TEXTBEFORE(A175, {"L","R"}, , , , A175))</f>
        <v>994</v>
      </c>
      <c r="H175" t="str">
        <f t="shared" si="2"/>
        <v>99420251121</v>
      </c>
    </row>
    <row r="176" spans="1:8" x14ac:dyDescent="0.3">
      <c r="A176" t="s">
        <v>32</v>
      </c>
      <c r="B176" s="1">
        <v>45983</v>
      </c>
      <c r="C176">
        <v>16</v>
      </c>
      <c r="D176">
        <v>3</v>
      </c>
      <c r="G176">
        <f>VALUE(_xlfn.TEXTBEFORE(A176, {"L","R"}, , , , A176))</f>
        <v>994</v>
      </c>
      <c r="H176" t="str">
        <f t="shared" si="2"/>
        <v>99420251122</v>
      </c>
    </row>
    <row r="177" spans="1:8" x14ac:dyDescent="0.3">
      <c r="A177" t="s">
        <v>32</v>
      </c>
      <c r="B177" s="1">
        <v>45984</v>
      </c>
      <c r="C177">
        <v>16</v>
      </c>
      <c r="D177">
        <v>10</v>
      </c>
      <c r="G177">
        <f>VALUE(_xlfn.TEXTBEFORE(A177, {"L","R"}, , , , A177))</f>
        <v>994</v>
      </c>
      <c r="H177" t="str">
        <f t="shared" si="2"/>
        <v>99420251123</v>
      </c>
    </row>
    <row r="178" spans="1:8" x14ac:dyDescent="0.3">
      <c r="A178" t="s">
        <v>32</v>
      </c>
      <c r="B178" s="1">
        <v>46003</v>
      </c>
      <c r="C178">
        <v>26</v>
      </c>
      <c r="D178">
        <v>3</v>
      </c>
      <c r="G178">
        <f>VALUE(_xlfn.TEXTBEFORE(A178, {"L","R"}, , , , A178))</f>
        <v>994</v>
      </c>
      <c r="H178" t="str">
        <f t="shared" si="2"/>
        <v>99420251212</v>
      </c>
    </row>
    <row r="179" spans="1:8" x14ac:dyDescent="0.3">
      <c r="A179" t="s">
        <v>32</v>
      </c>
      <c r="B179" s="1">
        <v>46004</v>
      </c>
      <c r="C179">
        <v>26</v>
      </c>
      <c r="D179">
        <v>5</v>
      </c>
      <c r="G179">
        <f>VALUE(_xlfn.TEXTBEFORE(A179, {"L","R"}, , , , A179))</f>
        <v>994</v>
      </c>
      <c r="H179" t="str">
        <f t="shared" si="2"/>
        <v>99420251213</v>
      </c>
    </row>
    <row r="180" spans="1:8" x14ac:dyDescent="0.3">
      <c r="A180" t="s">
        <v>32</v>
      </c>
      <c r="B180" s="1">
        <v>46006</v>
      </c>
      <c r="C180">
        <v>26</v>
      </c>
      <c r="D180">
        <v>10</v>
      </c>
      <c r="G180">
        <f>VALUE(_xlfn.TEXTBEFORE(A180, {"L","R"}, , , , A180))</f>
        <v>994</v>
      </c>
      <c r="H180" t="str">
        <f t="shared" si="2"/>
        <v>99420251215</v>
      </c>
    </row>
    <row r="181" spans="1:8" x14ac:dyDescent="0.3">
      <c r="A181" t="s">
        <v>32</v>
      </c>
      <c r="B181" s="1">
        <v>46007</v>
      </c>
      <c r="C181">
        <v>26</v>
      </c>
      <c r="D181">
        <v>5</v>
      </c>
      <c r="G181">
        <f>VALUE(_xlfn.TEXTBEFORE(A181, {"L","R"}, , , , A181))</f>
        <v>994</v>
      </c>
      <c r="H181" t="str">
        <f t="shared" si="2"/>
        <v>99420251216</v>
      </c>
    </row>
    <row r="182" spans="1:8" x14ac:dyDescent="0.3">
      <c r="A182" t="s">
        <v>32</v>
      </c>
      <c r="B182" s="1">
        <v>46009</v>
      </c>
      <c r="C182">
        <v>90</v>
      </c>
      <c r="D182">
        <v>10</v>
      </c>
      <c r="G182">
        <f>VALUE(_xlfn.TEXTBEFORE(A182, {"L","R"}, , , , A182))</f>
        <v>994</v>
      </c>
      <c r="H182" t="str">
        <f t="shared" si="2"/>
        <v>99420251218</v>
      </c>
    </row>
    <row r="183" spans="1:8" x14ac:dyDescent="0.3">
      <c r="A183" t="s">
        <v>32</v>
      </c>
      <c r="B183" s="1">
        <v>46021</v>
      </c>
      <c r="C183">
        <v>90</v>
      </c>
      <c r="D183">
        <v>5</v>
      </c>
      <c r="G183">
        <f>VALUE(_xlfn.TEXTBEFORE(A183, {"L","R"}, , , , A183))</f>
        <v>994</v>
      </c>
      <c r="H183" t="str">
        <f t="shared" si="2"/>
        <v>99420251230</v>
      </c>
    </row>
    <row r="184" spans="1:8" x14ac:dyDescent="0.3">
      <c r="A184" t="s">
        <v>32</v>
      </c>
      <c r="B184" s="1">
        <v>46024</v>
      </c>
      <c r="C184">
        <v>66</v>
      </c>
      <c r="D184">
        <v>3</v>
      </c>
      <c r="G184">
        <f>VALUE(_xlfn.TEXTBEFORE(A184, {"L","R"}, , , , A184))</f>
        <v>994</v>
      </c>
      <c r="H184" t="str">
        <f t="shared" si="2"/>
        <v>99420260102</v>
      </c>
    </row>
    <row r="185" spans="1:8" x14ac:dyDescent="0.3">
      <c r="A185" t="s">
        <v>33</v>
      </c>
      <c r="B185" s="1">
        <v>45980</v>
      </c>
      <c r="C185">
        <v>66</v>
      </c>
      <c r="D185">
        <v>3</v>
      </c>
      <c r="G185">
        <f>VALUE(_xlfn.TEXTBEFORE(A185, {"L","R"}, , , , A185))</f>
        <v>995</v>
      </c>
      <c r="H185" t="str">
        <f t="shared" si="2"/>
        <v>99520251119</v>
      </c>
    </row>
    <row r="186" spans="1:8" x14ac:dyDescent="0.3">
      <c r="A186" t="s">
        <v>33</v>
      </c>
      <c r="B186" s="1">
        <v>45981</v>
      </c>
      <c r="C186">
        <v>66</v>
      </c>
      <c r="D186">
        <v>5</v>
      </c>
      <c r="G186">
        <f>VALUE(_xlfn.TEXTBEFORE(A186, {"L","R"}, , , , A186))</f>
        <v>995</v>
      </c>
      <c r="H186" t="str">
        <f t="shared" si="2"/>
        <v>99520251120</v>
      </c>
    </row>
    <row r="187" spans="1:8" x14ac:dyDescent="0.3">
      <c r="A187" t="s">
        <v>33</v>
      </c>
      <c r="B187" s="1">
        <v>45982</v>
      </c>
      <c r="C187">
        <v>66</v>
      </c>
      <c r="D187">
        <v>10</v>
      </c>
      <c r="G187">
        <f>VALUE(_xlfn.TEXTBEFORE(A187, {"L","R"}, , , , A187))</f>
        <v>995</v>
      </c>
      <c r="H187" t="str">
        <f t="shared" si="2"/>
        <v>99520251121</v>
      </c>
    </row>
    <row r="188" spans="1:8" x14ac:dyDescent="0.3">
      <c r="A188" t="s">
        <v>33</v>
      </c>
      <c r="B188" s="1">
        <v>45983</v>
      </c>
      <c r="C188">
        <v>66</v>
      </c>
      <c r="D188">
        <v>3</v>
      </c>
      <c r="G188">
        <f>VALUE(_xlfn.TEXTBEFORE(A188, {"L","R"}, , , , A188))</f>
        <v>995</v>
      </c>
      <c r="H188" t="str">
        <f t="shared" si="2"/>
        <v>99520251122</v>
      </c>
    </row>
    <row r="189" spans="1:8" x14ac:dyDescent="0.3">
      <c r="A189" t="s">
        <v>33</v>
      </c>
      <c r="B189" s="1">
        <v>45984</v>
      </c>
      <c r="C189">
        <v>66</v>
      </c>
      <c r="D189">
        <v>10</v>
      </c>
      <c r="G189">
        <f>VALUE(_xlfn.TEXTBEFORE(A189, {"L","R"}, , , , A189))</f>
        <v>995</v>
      </c>
      <c r="H189" t="str">
        <f t="shared" si="2"/>
        <v>99520251123</v>
      </c>
    </row>
    <row r="190" spans="1:8" x14ac:dyDescent="0.3">
      <c r="A190" t="s">
        <v>33</v>
      </c>
      <c r="B190" s="1">
        <v>46003</v>
      </c>
      <c r="C190">
        <v>90</v>
      </c>
      <c r="D190">
        <v>3</v>
      </c>
      <c r="G190">
        <f>VALUE(_xlfn.TEXTBEFORE(A190, {"L","R"}, , , , A190))</f>
        <v>995</v>
      </c>
      <c r="H190" t="str">
        <f t="shared" si="2"/>
        <v>99520251212</v>
      </c>
    </row>
    <row r="191" spans="1:8" x14ac:dyDescent="0.3">
      <c r="A191" t="s">
        <v>33</v>
      </c>
      <c r="B191" s="1">
        <v>46004</v>
      </c>
      <c r="C191">
        <v>90</v>
      </c>
      <c r="D191">
        <v>5</v>
      </c>
      <c r="G191">
        <f>VALUE(_xlfn.TEXTBEFORE(A191, {"L","R"}, , , , A191))</f>
        <v>995</v>
      </c>
      <c r="H191" t="str">
        <f t="shared" si="2"/>
        <v>99520251213</v>
      </c>
    </row>
    <row r="192" spans="1:8" x14ac:dyDescent="0.3">
      <c r="A192" t="s">
        <v>33</v>
      </c>
      <c r="B192" s="1">
        <v>46007</v>
      </c>
      <c r="C192">
        <v>90</v>
      </c>
      <c r="D192">
        <v>5</v>
      </c>
      <c r="G192">
        <f>VALUE(_xlfn.TEXTBEFORE(A192, {"L","R"}, , , , A192))</f>
        <v>995</v>
      </c>
      <c r="H192" t="str">
        <f t="shared" si="2"/>
        <v>99520251216</v>
      </c>
    </row>
    <row r="193" spans="1:8" x14ac:dyDescent="0.3">
      <c r="A193" t="s">
        <v>33</v>
      </c>
      <c r="B193" s="1">
        <v>46009</v>
      </c>
      <c r="C193">
        <v>90</v>
      </c>
      <c r="D193">
        <v>10</v>
      </c>
      <c r="G193">
        <f>VALUE(_xlfn.TEXTBEFORE(A193, {"L","R"}, , , , A193))</f>
        <v>995</v>
      </c>
      <c r="H193" t="str">
        <f t="shared" si="2"/>
        <v>99520251218</v>
      </c>
    </row>
    <row r="194" spans="1:8" x14ac:dyDescent="0.3">
      <c r="A194" t="s">
        <v>33</v>
      </c>
      <c r="B194" s="1">
        <v>46036</v>
      </c>
      <c r="C194">
        <v>35</v>
      </c>
      <c r="D194">
        <v>3</v>
      </c>
      <c r="G194">
        <f>VALUE(_xlfn.TEXTBEFORE(A194, {"L","R"}, , , , A194))</f>
        <v>995</v>
      </c>
      <c r="H194" t="str">
        <f t="shared" si="2"/>
        <v>99520260114</v>
      </c>
    </row>
    <row r="195" spans="1:8" x14ac:dyDescent="0.3">
      <c r="A195" t="s">
        <v>33</v>
      </c>
      <c r="B195" s="1">
        <v>46037</v>
      </c>
      <c r="C195">
        <v>35</v>
      </c>
      <c r="D195">
        <v>5</v>
      </c>
      <c r="G195">
        <f>VALUE(_xlfn.TEXTBEFORE(A195, {"L","R"}, , , , A195))</f>
        <v>995</v>
      </c>
      <c r="H195" t="str">
        <f t="shared" ref="H195:H201" si="3">LEFT(A195, LEN(A195)-1) &amp; TEXT(B195, "yyyymmdd")</f>
        <v>99520260115</v>
      </c>
    </row>
    <row r="196" spans="1:8" x14ac:dyDescent="0.3">
      <c r="A196" t="s">
        <v>33</v>
      </c>
      <c r="B196" s="1">
        <v>46038</v>
      </c>
      <c r="C196">
        <v>35</v>
      </c>
      <c r="D196">
        <v>10</v>
      </c>
      <c r="G196">
        <f>VALUE(_xlfn.TEXTBEFORE(A196, {"L","R"}, , , , A196))</f>
        <v>995</v>
      </c>
      <c r="H196" t="str">
        <f t="shared" si="3"/>
        <v>99520260116</v>
      </c>
    </row>
    <row r="197" spans="1:8" x14ac:dyDescent="0.3">
      <c r="A197" t="s">
        <v>33</v>
      </c>
      <c r="B197" s="1">
        <v>46039</v>
      </c>
      <c r="C197">
        <v>35</v>
      </c>
      <c r="D197">
        <v>10</v>
      </c>
      <c r="G197">
        <f>VALUE(_xlfn.TEXTBEFORE(A197, {"L","R"}, , , , A197))</f>
        <v>995</v>
      </c>
      <c r="H197" t="str">
        <f t="shared" si="3"/>
        <v>99520260117</v>
      </c>
    </row>
    <row r="198" spans="1:8" x14ac:dyDescent="0.3">
      <c r="A198" t="s">
        <v>33</v>
      </c>
      <c r="B198" s="1">
        <v>46055</v>
      </c>
      <c r="C198">
        <v>35</v>
      </c>
      <c r="D198">
        <v>3</v>
      </c>
      <c r="G198">
        <f>VALUE(_xlfn.TEXTBEFORE(A198, {"L","R"}, , , , A198))</f>
        <v>995</v>
      </c>
      <c r="H198" t="str">
        <f t="shared" si="3"/>
        <v>99520260202</v>
      </c>
    </row>
    <row r="199" spans="1:8" x14ac:dyDescent="0.3">
      <c r="A199" t="s">
        <v>33</v>
      </c>
      <c r="B199" s="1">
        <v>46056</v>
      </c>
      <c r="C199">
        <v>35</v>
      </c>
      <c r="D199">
        <v>5</v>
      </c>
      <c r="G199">
        <f>VALUE(_xlfn.TEXTBEFORE(A199, {"L","R"}, , , , A199))</f>
        <v>995</v>
      </c>
      <c r="H199" t="str">
        <f t="shared" si="3"/>
        <v>99520260203</v>
      </c>
    </row>
    <row r="200" spans="1:8" x14ac:dyDescent="0.3">
      <c r="A200" t="s">
        <v>33</v>
      </c>
      <c r="B200" s="1">
        <v>46057</v>
      </c>
      <c r="C200">
        <v>35</v>
      </c>
      <c r="D200">
        <v>10</v>
      </c>
      <c r="G200">
        <f>VALUE(_xlfn.TEXTBEFORE(A200, {"L","R"}, , , , A200))</f>
        <v>995</v>
      </c>
      <c r="H200" t="str">
        <f t="shared" si="3"/>
        <v>99520260204</v>
      </c>
    </row>
    <row r="201" spans="1:8" x14ac:dyDescent="0.3">
      <c r="A201" t="s">
        <v>33</v>
      </c>
      <c r="B201" s="1">
        <v>46058</v>
      </c>
      <c r="C201">
        <v>35</v>
      </c>
      <c r="D201">
        <v>10</v>
      </c>
      <c r="G201">
        <f>VALUE(_xlfn.TEXTBEFORE(A201, {"L","R"}, , , , A201))</f>
        <v>995</v>
      </c>
      <c r="H201" t="str">
        <f t="shared" si="3"/>
        <v>99520260205</v>
      </c>
    </row>
    <row r="202" spans="1:8" x14ac:dyDescent="0.3">
      <c r="A202" t="s">
        <v>158</v>
      </c>
      <c r="B202" s="1">
        <v>46058</v>
      </c>
      <c r="C202">
        <v>49000</v>
      </c>
      <c r="D202">
        <v>1000</v>
      </c>
      <c r="G202">
        <f>VALUE(_xlfn.TEXTBEFORE(A202, {"L","R"}, , , , A202))</f>
        <v>900</v>
      </c>
      <c r="H202" t="str">
        <f>LEFT(A202, LEN(A202)-1) &amp; TEXT(B202, "yyyymmdd")</f>
        <v>90020260205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C8FE-ABD2-47A3-BB34-0CAE27A3221D}">
  <dimension ref="A1:S246"/>
  <sheetViews>
    <sheetView workbookViewId="0">
      <selection activeCell="O1" sqref="O1:Q1048576"/>
    </sheetView>
  </sheetViews>
  <sheetFormatPr defaultRowHeight="14.4" x14ac:dyDescent="0.3"/>
  <sheetData>
    <row r="1" spans="1:19" x14ac:dyDescent="0.3">
      <c r="A1" t="s">
        <v>0</v>
      </c>
      <c r="B1" t="s">
        <v>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4</v>
      </c>
      <c r="P1" t="s">
        <v>5</v>
      </c>
      <c r="Q1" t="s">
        <v>156</v>
      </c>
      <c r="R1" t="s">
        <v>134</v>
      </c>
      <c r="S1" t="s">
        <v>133</v>
      </c>
    </row>
    <row r="2" spans="1:19" x14ac:dyDescent="0.3">
      <c r="A2" t="s">
        <v>34</v>
      </c>
      <c r="B2" t="s">
        <v>40</v>
      </c>
      <c r="C2">
        <v>54.166666666666664</v>
      </c>
      <c r="D2">
        <v>55.000000000000007</v>
      </c>
      <c r="E2">
        <v>0</v>
      </c>
      <c r="F2">
        <v>0</v>
      </c>
      <c r="G2">
        <v>65</v>
      </c>
      <c r="H2">
        <v>66</v>
      </c>
      <c r="I2">
        <v>120</v>
      </c>
      <c r="J2">
        <v>120</v>
      </c>
      <c r="K2">
        <v>0</v>
      </c>
      <c r="L2">
        <v>0</v>
      </c>
      <c r="M2">
        <v>0.18281538461538793</v>
      </c>
      <c r="N2">
        <v>0.19430303030302487</v>
      </c>
      <c r="O2">
        <f>_xlfn.XLOOKUP(S2, AnglePowerMatching!$H:$H, AnglePowerMatching!$C:$C, "NaN")</f>
        <v>66</v>
      </c>
      <c r="P2">
        <f>_xlfn.XLOOKUP(S2, AnglePowerMatching!$H:$H, AnglePowerMatching!$D:$D, "NaN")</f>
        <v>3</v>
      </c>
      <c r="Q2" t="b">
        <f>NOT(OR(C2=0,D2=0))</f>
        <v>1</v>
      </c>
      <c r="R2">
        <f>VALUE(_xlfn.TEXTBEFORE(A2, {"L","R"}, , , , A2))</f>
        <v>1029</v>
      </c>
      <c r="S2" t="str">
        <f t="shared" ref="S2:S65" si="0">R2 &amp; TEXT(B2, "yyyymmdd")</f>
        <v>102920251122</v>
      </c>
    </row>
    <row r="3" spans="1:19" x14ac:dyDescent="0.3">
      <c r="A3" t="s">
        <v>34</v>
      </c>
      <c r="B3" t="s">
        <v>41</v>
      </c>
      <c r="C3">
        <v>53.333333333333336</v>
      </c>
      <c r="D3">
        <v>51.666666666666671</v>
      </c>
      <c r="E3">
        <v>0</v>
      </c>
      <c r="F3">
        <v>0</v>
      </c>
      <c r="G3">
        <v>64</v>
      </c>
      <c r="H3">
        <v>62</v>
      </c>
      <c r="I3">
        <v>120</v>
      </c>
      <c r="J3">
        <v>120</v>
      </c>
      <c r="K3">
        <v>0</v>
      </c>
      <c r="L3">
        <v>0</v>
      </c>
      <c r="M3">
        <v>0.27225000000000155</v>
      </c>
      <c r="N3">
        <v>0.28053225806452403</v>
      </c>
      <c r="O3">
        <f>_xlfn.XLOOKUP(S3, AnglePowerMatching!$H:$H, AnglePowerMatching!$C:$C, "NaN")</f>
        <v>66</v>
      </c>
      <c r="P3">
        <f>_xlfn.XLOOKUP(S3, AnglePowerMatching!$H:$H, AnglePowerMatching!$D:$D, "NaN")</f>
        <v>5</v>
      </c>
      <c r="Q3" t="b">
        <f t="shared" ref="Q3:Q66" si="1">NOT(OR(C3=0,D3=0))</f>
        <v>1</v>
      </c>
      <c r="R3">
        <f>VALUE(_xlfn.TEXTBEFORE(A3, {"L","R"}, , , , A3))</f>
        <v>1029</v>
      </c>
      <c r="S3" t="str">
        <f t="shared" si="0"/>
        <v>102920251123</v>
      </c>
    </row>
    <row r="4" spans="1:19" x14ac:dyDescent="0.3">
      <c r="A4" t="s">
        <v>34</v>
      </c>
      <c r="B4" t="s">
        <v>42</v>
      </c>
      <c r="C4">
        <v>51.666666666666671</v>
      </c>
      <c r="D4">
        <v>46.666666666666664</v>
      </c>
      <c r="E4">
        <v>0</v>
      </c>
      <c r="F4">
        <v>0</v>
      </c>
      <c r="G4">
        <v>62</v>
      </c>
      <c r="H4">
        <v>56</v>
      </c>
      <c r="I4">
        <v>120</v>
      </c>
      <c r="J4">
        <v>120</v>
      </c>
      <c r="K4">
        <v>0</v>
      </c>
      <c r="L4">
        <v>0</v>
      </c>
      <c r="M4">
        <v>0.29008064516130766</v>
      </c>
      <c r="N4">
        <v>0.20426785714284607</v>
      </c>
      <c r="O4">
        <f>_xlfn.XLOOKUP(S4, AnglePowerMatching!$H:$H, AnglePowerMatching!$C:$C, "NaN")</f>
        <v>66</v>
      </c>
      <c r="P4">
        <f>_xlfn.XLOOKUP(S4, AnglePowerMatching!$H:$H, AnglePowerMatching!$D:$D, "NaN")</f>
        <v>10</v>
      </c>
      <c r="Q4" t="b">
        <f t="shared" si="1"/>
        <v>1</v>
      </c>
      <c r="R4">
        <f>VALUE(_xlfn.TEXTBEFORE(A4, {"L","R"}, , , , A4))</f>
        <v>1029</v>
      </c>
      <c r="S4" t="str">
        <f t="shared" si="0"/>
        <v>102920251124</v>
      </c>
    </row>
    <row r="5" spans="1:19" x14ac:dyDescent="0.3">
      <c r="A5" t="s">
        <v>34</v>
      </c>
      <c r="B5" t="s">
        <v>43</v>
      </c>
      <c r="C5">
        <v>65.833333333333329</v>
      </c>
      <c r="D5">
        <v>65.833333333333329</v>
      </c>
      <c r="E5">
        <v>0</v>
      </c>
      <c r="F5">
        <v>0</v>
      </c>
      <c r="G5">
        <v>79</v>
      </c>
      <c r="H5">
        <v>79</v>
      </c>
      <c r="I5">
        <v>120</v>
      </c>
      <c r="J5">
        <v>120</v>
      </c>
      <c r="K5">
        <v>0</v>
      </c>
      <c r="L5">
        <v>0</v>
      </c>
      <c r="M5">
        <v>0.26475949367087354</v>
      </c>
      <c r="N5">
        <v>0.24287341772152399</v>
      </c>
      <c r="O5">
        <f>_xlfn.XLOOKUP(S5, AnglePowerMatching!$H:$H, AnglePowerMatching!$C:$C, "NaN")</f>
        <v>90</v>
      </c>
      <c r="P5">
        <f>_xlfn.XLOOKUP(S5, AnglePowerMatching!$H:$H, AnglePowerMatching!$D:$D, "NaN")</f>
        <v>3</v>
      </c>
      <c r="Q5" t="b">
        <f t="shared" si="1"/>
        <v>1</v>
      </c>
      <c r="R5">
        <f>VALUE(_xlfn.TEXTBEFORE(A5, {"L","R"}, , , , A5))</f>
        <v>1029</v>
      </c>
      <c r="S5" t="str">
        <f t="shared" si="0"/>
        <v>102920251212</v>
      </c>
    </row>
    <row r="6" spans="1:19" x14ac:dyDescent="0.3">
      <c r="A6" t="s">
        <v>34</v>
      </c>
      <c r="B6" t="s">
        <v>44</v>
      </c>
      <c r="C6">
        <v>82.5</v>
      </c>
      <c r="D6">
        <v>86.419753086419746</v>
      </c>
      <c r="E6">
        <v>40</v>
      </c>
      <c r="F6">
        <v>39</v>
      </c>
      <c r="G6">
        <v>66</v>
      </c>
      <c r="H6">
        <v>70</v>
      </c>
      <c r="I6">
        <v>120</v>
      </c>
      <c r="J6">
        <v>120</v>
      </c>
      <c r="K6">
        <v>33.333333333333329</v>
      </c>
      <c r="L6">
        <v>32.5</v>
      </c>
      <c r="M6">
        <v>0.42874242424243453</v>
      </c>
      <c r="N6">
        <v>0.34355714285715838</v>
      </c>
      <c r="O6">
        <f>_xlfn.XLOOKUP(S6, AnglePowerMatching!$H:$H, AnglePowerMatching!$C:$C, "NaN")</f>
        <v>90</v>
      </c>
      <c r="P6">
        <f>_xlfn.XLOOKUP(S6, AnglePowerMatching!$H:$H, AnglePowerMatching!$D:$D, "NaN")</f>
        <v>5</v>
      </c>
      <c r="Q6" t="b">
        <f t="shared" si="1"/>
        <v>1</v>
      </c>
      <c r="R6">
        <f>VALUE(_xlfn.TEXTBEFORE(A6, {"L","R"}, , , , A6))</f>
        <v>1029</v>
      </c>
      <c r="S6" t="str">
        <f t="shared" si="0"/>
        <v>102920251213</v>
      </c>
    </row>
    <row r="7" spans="1:19" x14ac:dyDescent="0.3">
      <c r="A7" t="s">
        <v>34</v>
      </c>
      <c r="B7" t="s">
        <v>45</v>
      </c>
      <c r="C7">
        <v>81.034482758620683</v>
      </c>
      <c r="D7">
        <v>70.175438596491219</v>
      </c>
      <c r="E7">
        <v>62</v>
      </c>
      <c r="F7">
        <v>63</v>
      </c>
      <c r="G7">
        <v>47</v>
      </c>
      <c r="H7">
        <v>40</v>
      </c>
      <c r="I7">
        <v>120</v>
      </c>
      <c r="J7">
        <v>120</v>
      </c>
      <c r="K7">
        <v>51.666666666666671</v>
      </c>
      <c r="L7">
        <v>52.5</v>
      </c>
      <c r="M7">
        <v>0.96259574468083997</v>
      </c>
      <c r="N7">
        <v>0.9584999999999877</v>
      </c>
      <c r="O7">
        <f>_xlfn.XLOOKUP(S7, AnglePowerMatching!$H:$H, AnglePowerMatching!$C:$C, "NaN")</f>
        <v>90</v>
      </c>
      <c r="P7">
        <f>_xlfn.XLOOKUP(S7, AnglePowerMatching!$H:$H, AnglePowerMatching!$D:$D, "NaN")</f>
        <v>10</v>
      </c>
      <c r="Q7" t="b">
        <f t="shared" si="1"/>
        <v>1</v>
      </c>
      <c r="R7">
        <f>VALUE(_xlfn.TEXTBEFORE(A7, {"L","R"}, , , , A7))</f>
        <v>1029</v>
      </c>
      <c r="S7" t="str">
        <f t="shared" si="0"/>
        <v>102920251215</v>
      </c>
    </row>
    <row r="8" spans="1:19" x14ac:dyDescent="0.3">
      <c r="A8" t="s">
        <v>34</v>
      </c>
      <c r="B8" t="s">
        <v>46</v>
      </c>
      <c r="C8">
        <v>36.595744680851062</v>
      </c>
      <c r="D8">
        <v>36.820083682008367</v>
      </c>
      <c r="E8">
        <v>5</v>
      </c>
      <c r="F8">
        <v>1</v>
      </c>
      <c r="G8">
        <v>86</v>
      </c>
      <c r="H8">
        <v>88</v>
      </c>
      <c r="I8">
        <v>240</v>
      </c>
      <c r="J8">
        <v>240</v>
      </c>
      <c r="K8">
        <v>2.083333333333333</v>
      </c>
      <c r="L8">
        <v>0.41666666666666669</v>
      </c>
      <c r="M8">
        <v>0.30010465116278584</v>
      </c>
      <c r="N8">
        <v>0.2843181818181893</v>
      </c>
      <c r="O8">
        <f>_xlfn.XLOOKUP(S8, AnglePowerMatching!$H:$H, AnglePowerMatching!$C:$C, "NaN")</f>
        <v>90</v>
      </c>
      <c r="P8">
        <f>_xlfn.XLOOKUP(S8, AnglePowerMatching!$H:$H, AnglePowerMatching!$D:$D, "NaN")</f>
        <v>10</v>
      </c>
      <c r="Q8" t="b">
        <f t="shared" si="1"/>
        <v>1</v>
      </c>
      <c r="R8">
        <f>VALUE(_xlfn.TEXTBEFORE(A8, {"L","R"}, , , , A8))</f>
        <v>1029</v>
      </c>
      <c r="S8" t="str">
        <f t="shared" si="0"/>
        <v>102920251216</v>
      </c>
    </row>
    <row r="9" spans="1:19" x14ac:dyDescent="0.3">
      <c r="A9" t="s">
        <v>34</v>
      </c>
      <c r="B9" t="s">
        <v>47</v>
      </c>
      <c r="C9">
        <v>64.285714285714292</v>
      </c>
      <c r="D9">
        <v>65.789473684210535</v>
      </c>
      <c r="E9">
        <v>12</v>
      </c>
      <c r="F9">
        <v>11</v>
      </c>
      <c r="G9">
        <v>72</v>
      </c>
      <c r="H9">
        <v>75</v>
      </c>
      <c r="I9">
        <v>124</v>
      </c>
      <c r="J9">
        <v>125</v>
      </c>
      <c r="K9">
        <v>9.67741935483871</v>
      </c>
      <c r="L9">
        <v>8.7999999999999989</v>
      </c>
      <c r="M9">
        <v>0.29847222222222758</v>
      </c>
      <c r="N9">
        <v>0.25242666666666075</v>
      </c>
      <c r="O9">
        <f>_xlfn.XLOOKUP(S9, AnglePowerMatching!$H:$H, AnglePowerMatching!$C:$C, "NaN")</f>
        <v>90</v>
      </c>
      <c r="P9">
        <f>_xlfn.XLOOKUP(S9, AnglePowerMatching!$H:$H, AnglePowerMatching!$D:$D, "NaN")</f>
        <v>10</v>
      </c>
      <c r="Q9" t="b">
        <f t="shared" si="1"/>
        <v>1</v>
      </c>
      <c r="R9">
        <f>VALUE(_xlfn.TEXTBEFORE(A9, {"L","R"}, , , , A9))</f>
        <v>1029</v>
      </c>
      <c r="S9" t="str">
        <f t="shared" si="0"/>
        <v>102920251217</v>
      </c>
    </row>
    <row r="10" spans="1:19" x14ac:dyDescent="0.3">
      <c r="A10" t="s">
        <v>34</v>
      </c>
      <c r="B10" t="s">
        <v>48</v>
      </c>
      <c r="C10">
        <v>62.608695652173921</v>
      </c>
      <c r="D10">
        <v>55.555555555555557</v>
      </c>
      <c r="E10">
        <v>5</v>
      </c>
      <c r="F10">
        <v>3</v>
      </c>
      <c r="G10">
        <v>72</v>
      </c>
      <c r="H10">
        <v>65</v>
      </c>
      <c r="I10">
        <v>120</v>
      </c>
      <c r="J10">
        <v>120</v>
      </c>
      <c r="K10">
        <v>4.1666666666666661</v>
      </c>
      <c r="L10">
        <v>2.5</v>
      </c>
      <c r="M10">
        <v>0.26394444444445392</v>
      </c>
      <c r="N10">
        <v>0.23587692307691632</v>
      </c>
      <c r="O10">
        <f>_xlfn.XLOOKUP(S10, AnglePowerMatching!$H:$H, AnglePowerMatching!$C:$C, "NaN")</f>
        <v>90</v>
      </c>
      <c r="P10">
        <f>_xlfn.XLOOKUP(S10, AnglePowerMatching!$H:$H, AnglePowerMatching!$D:$D, "NaN")</f>
        <v>5</v>
      </c>
      <c r="Q10" t="b">
        <f t="shared" si="1"/>
        <v>1</v>
      </c>
      <c r="R10">
        <f>VALUE(_xlfn.TEXTBEFORE(A10, {"L","R"}, , , , A10))</f>
        <v>1029</v>
      </c>
      <c r="S10" t="str">
        <f t="shared" si="0"/>
        <v>102920251218</v>
      </c>
    </row>
    <row r="11" spans="1:19" x14ac:dyDescent="0.3">
      <c r="A11" t="s">
        <v>34</v>
      </c>
      <c r="B11" t="s">
        <v>49</v>
      </c>
      <c r="C11">
        <v>60.504201680672267</v>
      </c>
      <c r="D11">
        <v>62.280701754385973</v>
      </c>
      <c r="E11">
        <v>1</v>
      </c>
      <c r="F11">
        <v>6</v>
      </c>
      <c r="G11">
        <v>72</v>
      </c>
      <c r="H11">
        <v>71</v>
      </c>
      <c r="I11">
        <v>120</v>
      </c>
      <c r="J11">
        <v>120</v>
      </c>
      <c r="K11">
        <v>0.83333333333333337</v>
      </c>
      <c r="L11">
        <v>5</v>
      </c>
      <c r="M11">
        <v>0.28647222222223362</v>
      </c>
      <c r="N11">
        <v>0.26454929577464642</v>
      </c>
      <c r="O11">
        <f>_xlfn.XLOOKUP(S11, AnglePowerMatching!$H:$H, AnglePowerMatching!$C:$C, "NaN")</f>
        <v>90</v>
      </c>
      <c r="P11">
        <f>_xlfn.XLOOKUP(S11, AnglePowerMatching!$H:$H, AnglePowerMatching!$D:$D, "NaN")</f>
        <v>10</v>
      </c>
      <c r="Q11" t="b">
        <f t="shared" si="1"/>
        <v>1</v>
      </c>
      <c r="R11">
        <f>VALUE(_xlfn.TEXTBEFORE(A11, {"L","R"}, , , , A11))</f>
        <v>1029</v>
      </c>
      <c r="S11" t="str">
        <f t="shared" si="0"/>
        <v>102920251230</v>
      </c>
    </row>
    <row r="12" spans="1:19" x14ac:dyDescent="0.3">
      <c r="A12" t="s">
        <v>34</v>
      </c>
      <c r="B12" t="s">
        <v>50</v>
      </c>
      <c r="C12">
        <v>73.68421052631578</v>
      </c>
      <c r="D12">
        <v>76.229508196721312</v>
      </c>
      <c r="E12">
        <v>22</v>
      </c>
      <c r="F12">
        <v>14</v>
      </c>
      <c r="G12">
        <v>84</v>
      </c>
      <c r="H12">
        <v>93</v>
      </c>
      <c r="I12">
        <v>136</v>
      </c>
      <c r="J12">
        <v>136</v>
      </c>
      <c r="K12">
        <v>16.176470588235293</v>
      </c>
      <c r="L12">
        <v>10.294117647058822</v>
      </c>
      <c r="M12">
        <v>0.28832142857142662</v>
      </c>
      <c r="N12">
        <v>0.27991397849462574</v>
      </c>
      <c r="O12">
        <f>_xlfn.XLOOKUP(S12, AnglePowerMatching!$H:$H, AnglePowerMatching!$C:$C, "NaN")</f>
        <v>90</v>
      </c>
      <c r="P12">
        <f>_xlfn.XLOOKUP(S12, AnglePowerMatching!$H:$H, AnglePowerMatching!$D:$D, "NaN")</f>
        <v>5</v>
      </c>
      <c r="Q12" t="b">
        <f t="shared" si="1"/>
        <v>1</v>
      </c>
      <c r="R12">
        <f>VALUE(_xlfn.TEXTBEFORE(A12, {"L","R"}, , , , A12))</f>
        <v>1029</v>
      </c>
      <c r="S12" t="str">
        <f t="shared" si="0"/>
        <v>102920251231</v>
      </c>
    </row>
    <row r="13" spans="1:19" x14ac:dyDescent="0.3">
      <c r="A13" t="s">
        <v>34</v>
      </c>
      <c r="B13" t="s">
        <v>51</v>
      </c>
      <c r="C13">
        <v>55.833333333333336</v>
      </c>
      <c r="D13">
        <v>51.260504201680668</v>
      </c>
      <c r="E13">
        <v>0</v>
      </c>
      <c r="F13">
        <v>1</v>
      </c>
      <c r="G13">
        <v>67</v>
      </c>
      <c r="H13">
        <v>61</v>
      </c>
      <c r="I13">
        <v>120</v>
      </c>
      <c r="J13">
        <v>120</v>
      </c>
      <c r="K13">
        <v>0</v>
      </c>
      <c r="L13">
        <v>0.83333333333333337</v>
      </c>
      <c r="M13">
        <v>0.31301492537313502</v>
      </c>
      <c r="N13">
        <v>0.26309836065573888</v>
      </c>
      <c r="O13">
        <f>_xlfn.XLOOKUP(S13, AnglePowerMatching!$H:$H, AnglePowerMatching!$C:$C, "NaN")</f>
        <v>35</v>
      </c>
      <c r="P13">
        <f>_xlfn.XLOOKUP(S13, AnglePowerMatching!$H:$H, AnglePowerMatching!$D:$D, "NaN")</f>
        <v>3</v>
      </c>
      <c r="Q13" t="b">
        <f t="shared" si="1"/>
        <v>1</v>
      </c>
      <c r="R13">
        <f>VALUE(_xlfn.TEXTBEFORE(A13, {"L","R"}, , , , A13))</f>
        <v>1029</v>
      </c>
      <c r="S13" t="str">
        <f t="shared" si="0"/>
        <v>102920260107</v>
      </c>
    </row>
    <row r="14" spans="1:19" x14ac:dyDescent="0.3">
      <c r="A14" t="s">
        <v>34</v>
      </c>
      <c r="B14" t="s">
        <v>52</v>
      </c>
      <c r="C14">
        <v>57.499999999999993</v>
      </c>
      <c r="D14">
        <v>65</v>
      </c>
      <c r="E14">
        <v>0</v>
      </c>
      <c r="F14">
        <v>0</v>
      </c>
      <c r="G14">
        <v>69</v>
      </c>
      <c r="H14">
        <v>78</v>
      </c>
      <c r="I14">
        <v>120</v>
      </c>
      <c r="J14">
        <v>120</v>
      </c>
      <c r="K14">
        <v>0</v>
      </c>
      <c r="L14">
        <v>0</v>
      </c>
      <c r="M14">
        <v>0.25897101449275672</v>
      </c>
      <c r="N14">
        <v>0.22925641025642668</v>
      </c>
      <c r="O14">
        <f>_xlfn.XLOOKUP(S14, AnglePowerMatching!$H:$H, AnglePowerMatching!$C:$C, "NaN")</f>
        <v>35</v>
      </c>
      <c r="P14">
        <f>_xlfn.XLOOKUP(S14, AnglePowerMatching!$H:$H, AnglePowerMatching!$D:$D, "NaN")</f>
        <v>5</v>
      </c>
      <c r="Q14" t="b">
        <f t="shared" si="1"/>
        <v>1</v>
      </c>
      <c r="R14">
        <f>VALUE(_xlfn.TEXTBEFORE(A14, {"L","R"}, , , , A14))</f>
        <v>1029</v>
      </c>
      <c r="S14" t="str">
        <f t="shared" si="0"/>
        <v>102920260108</v>
      </c>
    </row>
    <row r="15" spans="1:19" x14ac:dyDescent="0.3">
      <c r="A15" t="s">
        <v>34</v>
      </c>
      <c r="B15" t="s">
        <v>53</v>
      </c>
      <c r="C15">
        <v>64.65517241379311</v>
      </c>
      <c r="D15">
        <v>60.869565217391312</v>
      </c>
      <c r="E15">
        <v>4</v>
      </c>
      <c r="F15">
        <v>5</v>
      </c>
      <c r="G15">
        <v>75</v>
      </c>
      <c r="H15">
        <v>70</v>
      </c>
      <c r="I15">
        <v>120</v>
      </c>
      <c r="J15">
        <v>120</v>
      </c>
      <c r="K15">
        <v>3.3333333333333335</v>
      </c>
      <c r="L15">
        <v>4.1666666666666661</v>
      </c>
      <c r="M15">
        <v>0.28380000000000588</v>
      </c>
      <c r="N15">
        <v>0.31771428571428678</v>
      </c>
      <c r="O15">
        <f>_xlfn.XLOOKUP(S15, AnglePowerMatching!$H:$H, AnglePowerMatching!$C:$C, "NaN")</f>
        <v>35</v>
      </c>
      <c r="P15">
        <f>_xlfn.XLOOKUP(S15, AnglePowerMatching!$H:$H, AnglePowerMatching!$D:$D, "NaN")</f>
        <v>10</v>
      </c>
      <c r="Q15" t="b">
        <f t="shared" si="1"/>
        <v>1</v>
      </c>
      <c r="R15">
        <f>VALUE(_xlfn.TEXTBEFORE(A15, {"L","R"}, , , , A15))</f>
        <v>1029</v>
      </c>
      <c r="S15" t="str">
        <f t="shared" si="0"/>
        <v>102920260109</v>
      </c>
    </row>
    <row r="16" spans="1:19" x14ac:dyDescent="0.3">
      <c r="A16" t="s">
        <v>34</v>
      </c>
      <c r="B16" t="s">
        <v>54</v>
      </c>
      <c r="C16">
        <v>65</v>
      </c>
      <c r="D16">
        <v>63.02521008403361</v>
      </c>
      <c r="E16">
        <v>0</v>
      </c>
      <c r="F16">
        <v>1</v>
      </c>
      <c r="G16">
        <v>78</v>
      </c>
      <c r="H16">
        <v>75</v>
      </c>
      <c r="I16">
        <v>120</v>
      </c>
      <c r="J16">
        <v>120</v>
      </c>
      <c r="K16">
        <v>0</v>
      </c>
      <c r="L16">
        <v>0.83333333333333337</v>
      </c>
      <c r="M16">
        <v>0.2606410256410242</v>
      </c>
      <c r="N16">
        <v>0.25354666666666464</v>
      </c>
      <c r="O16">
        <f>_xlfn.XLOOKUP(S16, AnglePowerMatching!$H:$H, AnglePowerMatching!$C:$C, "NaN")</f>
        <v>35</v>
      </c>
      <c r="P16">
        <f>_xlfn.XLOOKUP(S16, AnglePowerMatching!$H:$H, AnglePowerMatching!$D:$D, "NaN")</f>
        <v>10</v>
      </c>
      <c r="Q16" t="b">
        <f t="shared" si="1"/>
        <v>1</v>
      </c>
      <c r="R16">
        <f>VALUE(_xlfn.TEXTBEFORE(A16, {"L","R"}, , , , A16))</f>
        <v>1029</v>
      </c>
      <c r="S16" t="str">
        <f t="shared" si="0"/>
        <v>102920260110</v>
      </c>
    </row>
    <row r="17" spans="1:19" x14ac:dyDescent="0.3">
      <c r="A17" t="s">
        <v>34</v>
      </c>
      <c r="B17" t="s">
        <v>55</v>
      </c>
      <c r="C17">
        <v>66.304347826086953</v>
      </c>
      <c r="D17">
        <v>63.265306122448983</v>
      </c>
      <c r="E17">
        <v>28</v>
      </c>
      <c r="F17">
        <v>22</v>
      </c>
      <c r="G17">
        <v>61</v>
      </c>
      <c r="H17">
        <v>62</v>
      </c>
      <c r="I17">
        <v>120</v>
      </c>
      <c r="J17">
        <v>120</v>
      </c>
      <c r="K17">
        <v>23.333333333333332</v>
      </c>
      <c r="L17">
        <v>18.333333333333332</v>
      </c>
      <c r="M17">
        <v>0.41016393442623544</v>
      </c>
      <c r="N17">
        <v>0.36191935483872056</v>
      </c>
      <c r="O17">
        <f>_xlfn.XLOOKUP(S17, AnglePowerMatching!$H:$H, AnglePowerMatching!$C:$C, "NaN")</f>
        <v>26</v>
      </c>
      <c r="P17">
        <f>_xlfn.XLOOKUP(S17, AnglePowerMatching!$H:$H, AnglePowerMatching!$D:$D, "NaN")</f>
        <v>3</v>
      </c>
      <c r="Q17" t="b">
        <f t="shared" si="1"/>
        <v>1</v>
      </c>
      <c r="R17">
        <f>VALUE(_xlfn.TEXTBEFORE(A17, {"L","R"}, , , , A17))</f>
        <v>1029</v>
      </c>
      <c r="S17" t="str">
        <f t="shared" si="0"/>
        <v>102920260122</v>
      </c>
    </row>
    <row r="18" spans="1:19" x14ac:dyDescent="0.3">
      <c r="A18" t="s">
        <v>34</v>
      </c>
      <c r="B18" t="s">
        <v>56</v>
      </c>
      <c r="C18">
        <v>82.456140350877192</v>
      </c>
      <c r="D18">
        <v>83.582089552238799</v>
      </c>
      <c r="E18">
        <v>63</v>
      </c>
      <c r="F18">
        <v>53</v>
      </c>
      <c r="G18">
        <v>47</v>
      </c>
      <c r="H18">
        <v>56</v>
      </c>
      <c r="I18">
        <v>120</v>
      </c>
      <c r="J18">
        <v>120</v>
      </c>
      <c r="K18">
        <v>52.5</v>
      </c>
      <c r="L18">
        <v>44.166666666666664</v>
      </c>
      <c r="M18">
        <v>0.5017872340425632</v>
      </c>
      <c r="N18">
        <v>0.68487499999999357</v>
      </c>
      <c r="O18">
        <f>_xlfn.XLOOKUP(S18, AnglePowerMatching!$H:$H, AnglePowerMatching!$C:$C, "NaN")</f>
        <v>26</v>
      </c>
      <c r="P18">
        <f>_xlfn.XLOOKUP(S18, AnglePowerMatching!$H:$H, AnglePowerMatching!$D:$D, "NaN")</f>
        <v>5</v>
      </c>
      <c r="Q18" t="b">
        <f t="shared" si="1"/>
        <v>1</v>
      </c>
      <c r="R18">
        <f>VALUE(_xlfn.TEXTBEFORE(A18, {"L","R"}, , , , A18))</f>
        <v>1029</v>
      </c>
      <c r="S18" t="str">
        <f t="shared" si="0"/>
        <v>102920260123</v>
      </c>
    </row>
    <row r="19" spans="1:19" x14ac:dyDescent="0.3">
      <c r="A19" t="s">
        <v>34</v>
      </c>
      <c r="B19" t="s">
        <v>57</v>
      </c>
      <c r="C19">
        <v>65.853658536585371</v>
      </c>
      <c r="D19">
        <v>68.888888888888886</v>
      </c>
      <c r="E19">
        <v>38</v>
      </c>
      <c r="F19">
        <v>30</v>
      </c>
      <c r="G19">
        <v>54</v>
      </c>
      <c r="H19">
        <v>62</v>
      </c>
      <c r="I19">
        <v>120</v>
      </c>
      <c r="J19">
        <v>120</v>
      </c>
      <c r="K19">
        <v>31.666666666666664</v>
      </c>
      <c r="L19">
        <v>25</v>
      </c>
      <c r="M19">
        <v>0.46425925925926187</v>
      </c>
      <c r="N19">
        <v>0.4117258064515989</v>
      </c>
      <c r="O19">
        <f>_xlfn.XLOOKUP(S19, AnglePowerMatching!$H:$H, AnglePowerMatching!$C:$C, "NaN")</f>
        <v>16</v>
      </c>
      <c r="P19">
        <f>_xlfn.XLOOKUP(S19, AnglePowerMatching!$H:$H, AnglePowerMatching!$D:$D, "NaN")</f>
        <v>3</v>
      </c>
      <c r="Q19" t="b">
        <f t="shared" si="1"/>
        <v>1</v>
      </c>
      <c r="R19">
        <f>VALUE(_xlfn.TEXTBEFORE(A19, {"L","R"}, , , , A19))</f>
        <v>1029</v>
      </c>
      <c r="S19" t="str">
        <f t="shared" si="0"/>
        <v>102920260129</v>
      </c>
    </row>
    <row r="20" spans="1:19" x14ac:dyDescent="0.3">
      <c r="A20" t="s">
        <v>34</v>
      </c>
      <c r="B20" t="s">
        <v>58</v>
      </c>
      <c r="C20">
        <v>84.285714285714292</v>
      </c>
      <c r="D20">
        <v>78.571428571428569</v>
      </c>
      <c r="E20">
        <v>59</v>
      </c>
      <c r="F20">
        <v>75</v>
      </c>
      <c r="G20">
        <v>59</v>
      </c>
      <c r="H20">
        <v>44</v>
      </c>
      <c r="I20">
        <v>129</v>
      </c>
      <c r="J20">
        <v>131</v>
      </c>
      <c r="K20">
        <v>45.736434108527128</v>
      </c>
      <c r="L20">
        <v>57.251908396946561</v>
      </c>
      <c r="M20">
        <v>0.50333898305084868</v>
      </c>
      <c r="N20">
        <v>0.4932499999999862</v>
      </c>
      <c r="O20">
        <f>_xlfn.XLOOKUP(S20, AnglePowerMatching!$H:$H, AnglePowerMatching!$C:$C, "NaN")</f>
        <v>16</v>
      </c>
      <c r="P20">
        <f>_xlfn.XLOOKUP(S20, AnglePowerMatching!$H:$H, AnglePowerMatching!$D:$D, "NaN")</f>
        <v>5</v>
      </c>
      <c r="Q20" t="b">
        <f t="shared" si="1"/>
        <v>1</v>
      </c>
      <c r="R20">
        <f>VALUE(_xlfn.TEXTBEFORE(A20, {"L","R"}, , , , A20))</f>
        <v>1029</v>
      </c>
      <c r="S20" t="str">
        <f t="shared" si="0"/>
        <v>102920260130</v>
      </c>
    </row>
    <row r="21" spans="1:19" x14ac:dyDescent="0.3">
      <c r="A21" t="s">
        <v>34</v>
      </c>
      <c r="B21" t="s">
        <v>59</v>
      </c>
      <c r="C21">
        <v>68.253968253968253</v>
      </c>
      <c r="D21">
        <v>78.125</v>
      </c>
      <c r="E21">
        <v>57</v>
      </c>
      <c r="F21">
        <v>56</v>
      </c>
      <c r="G21">
        <v>43</v>
      </c>
      <c r="H21">
        <v>50</v>
      </c>
      <c r="I21">
        <v>120</v>
      </c>
      <c r="J21">
        <v>120</v>
      </c>
      <c r="K21">
        <v>47.5</v>
      </c>
      <c r="L21">
        <v>46.666666666666664</v>
      </c>
      <c r="M21">
        <v>0.57860465116278648</v>
      </c>
      <c r="N21">
        <v>0.40883999999999687</v>
      </c>
      <c r="O21">
        <f>_xlfn.XLOOKUP(S21, AnglePowerMatching!$H:$H, AnglePowerMatching!$C:$C, "NaN")</f>
        <v>16</v>
      </c>
      <c r="P21">
        <f>_xlfn.XLOOKUP(S21, AnglePowerMatching!$H:$H, AnglePowerMatching!$D:$D, "NaN")</f>
        <v>10</v>
      </c>
      <c r="Q21" t="b">
        <f t="shared" si="1"/>
        <v>1</v>
      </c>
      <c r="R21">
        <f>VALUE(_xlfn.TEXTBEFORE(A21, {"L","R"}, , , , A21))</f>
        <v>1029</v>
      </c>
      <c r="S21" t="str">
        <f t="shared" si="0"/>
        <v>102920260131</v>
      </c>
    </row>
    <row r="22" spans="1:19" x14ac:dyDescent="0.3">
      <c r="A22" t="s">
        <v>35</v>
      </c>
      <c r="B22" t="s">
        <v>60</v>
      </c>
      <c r="C22">
        <v>62.62626262626263</v>
      </c>
      <c r="D22">
        <v>58.82352941176471</v>
      </c>
      <c r="E22">
        <v>21</v>
      </c>
      <c r="F22">
        <v>18</v>
      </c>
      <c r="G22">
        <v>62</v>
      </c>
      <c r="H22">
        <v>60</v>
      </c>
      <c r="I22">
        <v>120</v>
      </c>
      <c r="J22">
        <v>120</v>
      </c>
      <c r="K22">
        <v>17.5</v>
      </c>
      <c r="L22">
        <v>15</v>
      </c>
      <c r="M22">
        <v>0.37225806451612764</v>
      </c>
      <c r="N22">
        <v>0.30774999999998492</v>
      </c>
      <c r="O22">
        <f>_xlfn.XLOOKUP(S22, AnglePowerMatching!$H:$H, AnglePowerMatching!$C:$C, "NaN")</f>
        <v>66</v>
      </c>
      <c r="P22">
        <f>_xlfn.XLOOKUP(S22, AnglePowerMatching!$H:$H, AnglePowerMatching!$D:$D, "NaN")</f>
        <v>3</v>
      </c>
      <c r="Q22" t="b">
        <f t="shared" si="1"/>
        <v>1</v>
      </c>
      <c r="R22">
        <f>VALUE(_xlfn.TEXTBEFORE(A22, {"L","R"}, , , , A22))</f>
        <v>1030</v>
      </c>
      <c r="S22" t="str">
        <f t="shared" si="0"/>
        <v>103020251015</v>
      </c>
    </row>
    <row r="23" spans="1:19" x14ac:dyDescent="0.3">
      <c r="A23" t="s">
        <v>35</v>
      </c>
      <c r="B23" t="s">
        <v>61</v>
      </c>
      <c r="C23">
        <v>63.793103448275865</v>
      </c>
      <c r="D23">
        <v>73.333333333333329</v>
      </c>
      <c r="E23">
        <v>4</v>
      </c>
      <c r="F23">
        <v>0</v>
      </c>
      <c r="G23">
        <v>74</v>
      </c>
      <c r="H23">
        <v>88</v>
      </c>
      <c r="I23">
        <v>120</v>
      </c>
      <c r="J23">
        <v>120</v>
      </c>
      <c r="K23">
        <v>3.3333333333333335</v>
      </c>
      <c r="L23">
        <v>0</v>
      </c>
      <c r="M23">
        <v>0.24162162162162276</v>
      </c>
      <c r="N23">
        <v>0.28845454545456028</v>
      </c>
      <c r="O23">
        <f>_xlfn.XLOOKUP(S23, AnglePowerMatching!$H:$H, AnglePowerMatching!$C:$C, "NaN")</f>
        <v>66</v>
      </c>
      <c r="P23">
        <f>_xlfn.XLOOKUP(S23, AnglePowerMatching!$H:$H, AnglePowerMatching!$D:$D, "NaN")</f>
        <v>5</v>
      </c>
      <c r="Q23" t="b">
        <f t="shared" si="1"/>
        <v>1</v>
      </c>
      <c r="R23">
        <f>VALUE(_xlfn.TEXTBEFORE(A23, {"L","R"}, , , , A23))</f>
        <v>1030</v>
      </c>
      <c r="S23" t="str">
        <f t="shared" si="0"/>
        <v>103020251016</v>
      </c>
    </row>
    <row r="24" spans="1:19" x14ac:dyDescent="0.3">
      <c r="A24" t="s">
        <v>35</v>
      </c>
      <c r="B24" t="s">
        <v>62</v>
      </c>
      <c r="C24">
        <v>90.217391304347828</v>
      </c>
      <c r="D24">
        <v>80.434782608695656</v>
      </c>
      <c r="E24">
        <v>28</v>
      </c>
      <c r="F24">
        <v>28</v>
      </c>
      <c r="G24">
        <v>83</v>
      </c>
      <c r="H24">
        <v>74</v>
      </c>
      <c r="I24">
        <v>120</v>
      </c>
      <c r="J24">
        <v>120</v>
      </c>
      <c r="K24">
        <v>23.333333333333332</v>
      </c>
      <c r="L24">
        <v>23.333333333333332</v>
      </c>
      <c r="M24">
        <v>0.31006024096385759</v>
      </c>
      <c r="N24">
        <v>0.31935135135135456</v>
      </c>
      <c r="O24">
        <f>_xlfn.XLOOKUP(S24, AnglePowerMatching!$H:$H, AnglePowerMatching!$C:$C, "NaN")</f>
        <v>66</v>
      </c>
      <c r="P24">
        <f>_xlfn.XLOOKUP(S24, AnglePowerMatching!$H:$H, AnglePowerMatching!$D:$D, "NaN")</f>
        <v>10</v>
      </c>
      <c r="Q24" t="b">
        <f t="shared" si="1"/>
        <v>1</v>
      </c>
      <c r="R24">
        <f>VALUE(_xlfn.TEXTBEFORE(A24, {"L","R"}, , , , A24))</f>
        <v>1030</v>
      </c>
      <c r="S24" t="str">
        <f t="shared" si="0"/>
        <v>103020251017</v>
      </c>
    </row>
    <row r="25" spans="1:19" x14ac:dyDescent="0.3">
      <c r="A25" t="s">
        <v>35</v>
      </c>
      <c r="B25" t="s">
        <v>63</v>
      </c>
      <c r="C25">
        <v>72.164948453608247</v>
      </c>
      <c r="D25">
        <v>77.227722772277232</v>
      </c>
      <c r="E25">
        <v>23</v>
      </c>
      <c r="F25">
        <v>19</v>
      </c>
      <c r="G25">
        <v>70</v>
      </c>
      <c r="H25">
        <v>78</v>
      </c>
      <c r="I25">
        <v>120</v>
      </c>
      <c r="J25">
        <v>120</v>
      </c>
      <c r="K25">
        <v>19.166666666666668</v>
      </c>
      <c r="L25">
        <v>15.833333333333332</v>
      </c>
      <c r="M25">
        <v>0.35742857142857432</v>
      </c>
      <c r="N25">
        <v>0.32946153846153819</v>
      </c>
      <c r="O25">
        <f>_xlfn.XLOOKUP(S25, AnglePowerMatching!$H:$H, AnglePowerMatching!$C:$C, "NaN")</f>
        <v>66</v>
      </c>
      <c r="P25">
        <f>_xlfn.XLOOKUP(S25, AnglePowerMatching!$H:$H, AnglePowerMatching!$D:$D, "NaN")</f>
        <v>3</v>
      </c>
      <c r="Q25" t="b">
        <f t="shared" si="1"/>
        <v>1</v>
      </c>
      <c r="R25">
        <f>VALUE(_xlfn.TEXTBEFORE(A25, {"L","R"}, , , , A25))</f>
        <v>1030</v>
      </c>
      <c r="S25" t="str">
        <f t="shared" si="0"/>
        <v>103020251018</v>
      </c>
    </row>
    <row r="26" spans="1:19" x14ac:dyDescent="0.3">
      <c r="A26" t="s">
        <v>35</v>
      </c>
      <c r="B26" t="s">
        <v>64</v>
      </c>
      <c r="C26">
        <v>69.811320754716974</v>
      </c>
      <c r="D26">
        <v>73.214285714285708</v>
      </c>
      <c r="E26">
        <v>67</v>
      </c>
      <c r="F26">
        <v>64</v>
      </c>
      <c r="G26">
        <v>37</v>
      </c>
      <c r="H26">
        <v>41</v>
      </c>
      <c r="I26">
        <v>120</v>
      </c>
      <c r="J26">
        <v>120</v>
      </c>
      <c r="K26">
        <v>55.833333333333336</v>
      </c>
      <c r="L26">
        <v>53.333333333333336</v>
      </c>
      <c r="M26">
        <v>0.48835135135135055</v>
      </c>
      <c r="N26">
        <v>0.39495121951218892</v>
      </c>
      <c r="O26">
        <f>_xlfn.XLOOKUP(S26, AnglePowerMatching!$H:$H, AnglePowerMatching!$C:$C, "NaN")</f>
        <v>90</v>
      </c>
      <c r="P26">
        <f>_xlfn.XLOOKUP(S26, AnglePowerMatching!$H:$H, AnglePowerMatching!$D:$D, "NaN")</f>
        <v>3</v>
      </c>
      <c r="Q26" t="b">
        <f t="shared" si="1"/>
        <v>1</v>
      </c>
      <c r="R26">
        <f>VALUE(_xlfn.TEXTBEFORE(A26, {"L","R"}, , , , A26))</f>
        <v>1030</v>
      </c>
      <c r="S26" t="str">
        <f t="shared" si="0"/>
        <v>103020251025</v>
      </c>
    </row>
    <row r="27" spans="1:19" x14ac:dyDescent="0.3">
      <c r="A27" t="s">
        <v>35</v>
      </c>
      <c r="B27" t="s">
        <v>65</v>
      </c>
      <c r="C27">
        <v>74.468085106382972</v>
      </c>
      <c r="D27">
        <v>75</v>
      </c>
      <c r="E27">
        <v>31</v>
      </c>
      <c r="F27">
        <v>32</v>
      </c>
      <c r="G27">
        <v>70</v>
      </c>
      <c r="H27">
        <v>69</v>
      </c>
      <c r="I27">
        <v>125</v>
      </c>
      <c r="J27">
        <v>124</v>
      </c>
      <c r="K27">
        <v>24.8</v>
      </c>
      <c r="L27">
        <v>25.806451612903224</v>
      </c>
      <c r="M27">
        <v>0.3909285714285814</v>
      </c>
      <c r="N27">
        <v>0.35176811594201518</v>
      </c>
      <c r="O27">
        <f>_xlfn.XLOOKUP(S27, AnglePowerMatching!$H:$H, AnglePowerMatching!$C:$C, "NaN")</f>
        <v>90</v>
      </c>
      <c r="P27">
        <f>_xlfn.XLOOKUP(S27, AnglePowerMatching!$H:$H, AnglePowerMatching!$D:$D, "NaN")</f>
        <v>5</v>
      </c>
      <c r="Q27" t="b">
        <f t="shared" si="1"/>
        <v>1</v>
      </c>
      <c r="R27">
        <f>VALUE(_xlfn.TEXTBEFORE(A27, {"L","R"}, , , , A27))</f>
        <v>1030</v>
      </c>
      <c r="S27" t="str">
        <f t="shared" si="0"/>
        <v>103020251026</v>
      </c>
    </row>
    <row r="28" spans="1:19" x14ac:dyDescent="0.3">
      <c r="A28" t="s">
        <v>35</v>
      </c>
      <c r="B28" t="s">
        <v>66</v>
      </c>
      <c r="C28">
        <v>96.638655462184872</v>
      </c>
      <c r="D28">
        <v>94.9579831932773</v>
      </c>
      <c r="E28">
        <v>1</v>
      </c>
      <c r="F28">
        <v>1</v>
      </c>
      <c r="G28">
        <v>115</v>
      </c>
      <c r="H28">
        <v>113</v>
      </c>
      <c r="I28">
        <v>120</v>
      </c>
      <c r="J28">
        <v>120</v>
      </c>
      <c r="K28">
        <v>0.83333333333333337</v>
      </c>
      <c r="L28">
        <v>0.83333333333333337</v>
      </c>
      <c r="M28">
        <v>0.56280869565217639</v>
      </c>
      <c r="N28">
        <v>0.54071681415928852</v>
      </c>
      <c r="O28">
        <f>_xlfn.XLOOKUP(S28, AnglePowerMatching!$H:$H, AnglePowerMatching!$C:$C, "NaN")</f>
        <v>90</v>
      </c>
      <c r="P28">
        <f>_xlfn.XLOOKUP(S28, AnglePowerMatching!$H:$H, AnglePowerMatching!$D:$D, "NaN")</f>
        <v>10</v>
      </c>
      <c r="Q28" t="b">
        <f t="shared" si="1"/>
        <v>1</v>
      </c>
      <c r="R28">
        <f>VALUE(_xlfn.TEXTBEFORE(A28, {"L","R"}, , , , A28))</f>
        <v>1030</v>
      </c>
      <c r="S28" t="str">
        <f t="shared" si="0"/>
        <v>103020251027</v>
      </c>
    </row>
    <row r="29" spans="1:19" x14ac:dyDescent="0.3">
      <c r="A29" t="s">
        <v>35</v>
      </c>
      <c r="B29" t="s">
        <v>67</v>
      </c>
      <c r="C29">
        <v>89.189189189189193</v>
      </c>
      <c r="D29">
        <v>94.690265486725664</v>
      </c>
      <c r="E29">
        <v>9</v>
      </c>
      <c r="F29">
        <v>7</v>
      </c>
      <c r="G29">
        <v>99</v>
      </c>
      <c r="H29">
        <v>107</v>
      </c>
      <c r="I29">
        <v>120</v>
      </c>
      <c r="J29">
        <v>120</v>
      </c>
      <c r="K29">
        <v>7.5</v>
      </c>
      <c r="L29">
        <v>5.833333333333333</v>
      </c>
      <c r="M29">
        <v>0.51358585858586103</v>
      </c>
      <c r="N29">
        <v>0.54255140186915352</v>
      </c>
      <c r="O29">
        <f>_xlfn.XLOOKUP(S29, AnglePowerMatching!$H:$H, AnglePowerMatching!$C:$C, "NaN")</f>
        <v>90</v>
      </c>
      <c r="P29">
        <f>_xlfn.XLOOKUP(S29, AnglePowerMatching!$H:$H, AnglePowerMatching!$D:$D, "NaN")</f>
        <v>10</v>
      </c>
      <c r="Q29" t="b">
        <f t="shared" si="1"/>
        <v>1</v>
      </c>
      <c r="R29">
        <f>VALUE(_xlfn.TEXTBEFORE(A29, {"L","R"}, , , , A29))</f>
        <v>1030</v>
      </c>
      <c r="S29" t="str">
        <f t="shared" si="0"/>
        <v>103020251028</v>
      </c>
    </row>
    <row r="30" spans="1:19" x14ac:dyDescent="0.3">
      <c r="A30" t="s">
        <v>35</v>
      </c>
      <c r="B30" t="s">
        <v>68</v>
      </c>
      <c r="C30">
        <v>90</v>
      </c>
      <c r="D30">
        <v>89.075630252100851</v>
      </c>
      <c r="E30">
        <v>0</v>
      </c>
      <c r="F30">
        <v>1</v>
      </c>
      <c r="G30">
        <v>108</v>
      </c>
      <c r="H30">
        <v>106</v>
      </c>
      <c r="I30">
        <v>120</v>
      </c>
      <c r="J30">
        <v>120</v>
      </c>
      <c r="K30">
        <v>0</v>
      </c>
      <c r="L30">
        <v>0.83333333333333337</v>
      </c>
      <c r="M30">
        <v>0.38124074074073705</v>
      </c>
      <c r="N30">
        <v>0.38286792452830237</v>
      </c>
      <c r="O30">
        <f>_xlfn.XLOOKUP(S30, AnglePowerMatching!$H:$H, AnglePowerMatching!$C:$C, "NaN")</f>
        <v>35</v>
      </c>
      <c r="P30">
        <f>_xlfn.XLOOKUP(S30, AnglePowerMatching!$H:$H, AnglePowerMatching!$D:$D, "NaN")</f>
        <v>3</v>
      </c>
      <c r="Q30" t="b">
        <f t="shared" si="1"/>
        <v>1</v>
      </c>
      <c r="R30">
        <f>VALUE(_xlfn.TEXTBEFORE(A30, {"L","R"}, , , , A30))</f>
        <v>1030</v>
      </c>
      <c r="S30" t="str">
        <f t="shared" si="0"/>
        <v>103020251103</v>
      </c>
    </row>
    <row r="31" spans="1:19" x14ac:dyDescent="0.3">
      <c r="A31" t="s">
        <v>35</v>
      </c>
      <c r="B31" t="s">
        <v>69</v>
      </c>
      <c r="C31">
        <v>92.372881355932208</v>
      </c>
      <c r="D31">
        <v>93.220338983050837</v>
      </c>
      <c r="E31">
        <v>2</v>
      </c>
      <c r="F31">
        <v>2</v>
      </c>
      <c r="G31">
        <v>109</v>
      </c>
      <c r="H31">
        <v>110</v>
      </c>
      <c r="I31">
        <v>120</v>
      </c>
      <c r="J31">
        <v>120</v>
      </c>
      <c r="K31">
        <v>1.6666666666666667</v>
      </c>
      <c r="L31">
        <v>1.6666666666666667</v>
      </c>
      <c r="M31">
        <v>0.42896330275229055</v>
      </c>
      <c r="N31">
        <v>0.43836363636364956</v>
      </c>
      <c r="O31">
        <f>_xlfn.XLOOKUP(S31, AnglePowerMatching!$H:$H, AnglePowerMatching!$C:$C, "NaN")</f>
        <v>35</v>
      </c>
      <c r="P31">
        <f>_xlfn.XLOOKUP(S31, AnglePowerMatching!$H:$H, AnglePowerMatching!$D:$D, "NaN")</f>
        <v>5</v>
      </c>
      <c r="Q31" t="b">
        <f t="shared" si="1"/>
        <v>1</v>
      </c>
      <c r="R31">
        <f>VALUE(_xlfn.TEXTBEFORE(A31, {"L","R"}, , , , A31))</f>
        <v>1030</v>
      </c>
      <c r="S31" t="str">
        <f t="shared" si="0"/>
        <v>103020251104</v>
      </c>
    </row>
    <row r="32" spans="1:19" x14ac:dyDescent="0.3">
      <c r="A32" t="s">
        <v>35</v>
      </c>
      <c r="B32" t="s">
        <v>69</v>
      </c>
      <c r="C32">
        <v>64.356435643564353</v>
      </c>
      <c r="D32">
        <v>69</v>
      </c>
      <c r="E32">
        <v>19</v>
      </c>
      <c r="F32">
        <v>20</v>
      </c>
      <c r="G32">
        <v>65</v>
      </c>
      <c r="H32">
        <v>69</v>
      </c>
      <c r="I32">
        <v>120</v>
      </c>
      <c r="J32">
        <v>120</v>
      </c>
      <c r="K32">
        <v>15.833333333333332</v>
      </c>
      <c r="L32">
        <v>16.666666666666664</v>
      </c>
      <c r="M32">
        <v>1.2643999999999851</v>
      </c>
      <c r="N32">
        <v>1.1896231884058071</v>
      </c>
      <c r="O32">
        <f>_xlfn.XLOOKUP(S32, AnglePowerMatching!$H:$H, AnglePowerMatching!$C:$C, "NaN")</f>
        <v>35</v>
      </c>
      <c r="P32">
        <f>_xlfn.XLOOKUP(S32, AnglePowerMatching!$H:$H, AnglePowerMatching!$D:$D, "NaN")</f>
        <v>5</v>
      </c>
      <c r="Q32" t="b">
        <f t="shared" si="1"/>
        <v>1</v>
      </c>
      <c r="R32">
        <f>VALUE(_xlfn.TEXTBEFORE(A32, {"L","R"}, , , , A32))</f>
        <v>1030</v>
      </c>
      <c r="S32" t="str">
        <f t="shared" si="0"/>
        <v>103020251104</v>
      </c>
    </row>
    <row r="33" spans="1:19" x14ac:dyDescent="0.3">
      <c r="A33" t="s">
        <v>35</v>
      </c>
      <c r="B33" t="s">
        <v>70</v>
      </c>
      <c r="C33">
        <v>75.892857142857139</v>
      </c>
      <c r="D33">
        <v>74.107142857142861</v>
      </c>
      <c r="E33">
        <v>8</v>
      </c>
      <c r="F33">
        <v>8</v>
      </c>
      <c r="G33">
        <v>85</v>
      </c>
      <c r="H33">
        <v>83</v>
      </c>
      <c r="I33">
        <v>120</v>
      </c>
      <c r="J33">
        <v>120</v>
      </c>
      <c r="K33">
        <v>6.666666666666667</v>
      </c>
      <c r="L33">
        <v>6.666666666666667</v>
      </c>
      <c r="M33">
        <v>0.2840705882352908</v>
      </c>
      <c r="N33">
        <v>0.28373493975903896</v>
      </c>
      <c r="O33">
        <f>_xlfn.XLOOKUP(S33, AnglePowerMatching!$H:$H, AnglePowerMatching!$C:$C, "NaN")</f>
        <v>35</v>
      </c>
      <c r="P33">
        <f>_xlfn.XLOOKUP(S33, AnglePowerMatching!$H:$H, AnglePowerMatching!$D:$D, "NaN")</f>
        <v>10</v>
      </c>
      <c r="Q33" t="b">
        <f t="shared" si="1"/>
        <v>1</v>
      </c>
      <c r="R33">
        <f>VALUE(_xlfn.TEXTBEFORE(A33, {"L","R"}, , , , A33))</f>
        <v>1030</v>
      </c>
      <c r="S33" t="str">
        <f t="shared" si="0"/>
        <v>103020251105</v>
      </c>
    </row>
    <row r="34" spans="1:19" x14ac:dyDescent="0.3">
      <c r="A34" t="s">
        <v>35</v>
      </c>
      <c r="B34" t="s">
        <v>125</v>
      </c>
      <c r="C34">
        <v>91.666666666666657</v>
      </c>
      <c r="D34">
        <v>94.9579831932773</v>
      </c>
      <c r="E34">
        <v>0</v>
      </c>
      <c r="F34">
        <v>1</v>
      </c>
      <c r="G34">
        <v>110</v>
      </c>
      <c r="H34">
        <v>113</v>
      </c>
      <c r="I34">
        <v>120</v>
      </c>
      <c r="J34">
        <v>120</v>
      </c>
      <c r="K34">
        <v>0</v>
      </c>
      <c r="L34">
        <v>0.83333333333333337</v>
      </c>
      <c r="M34">
        <v>0.41985454545454493</v>
      </c>
      <c r="N34">
        <v>0.41159292035397838</v>
      </c>
      <c r="O34">
        <f>_xlfn.XLOOKUP(S34, AnglePowerMatching!$H:$H, AnglePowerMatching!$C:$C, "NaN")</f>
        <v>26</v>
      </c>
      <c r="P34">
        <f>_xlfn.XLOOKUP(S34, AnglePowerMatching!$H:$H, AnglePowerMatching!$D:$D, "NaN")</f>
        <v>3</v>
      </c>
      <c r="Q34" t="b">
        <f t="shared" si="1"/>
        <v>1</v>
      </c>
      <c r="R34">
        <f>VALUE(_xlfn.TEXTBEFORE(A34, {"L","R"}, , , , A34))</f>
        <v>1030</v>
      </c>
      <c r="S34" t="str">
        <f t="shared" si="0"/>
        <v>103020251110</v>
      </c>
    </row>
    <row r="35" spans="1:19" x14ac:dyDescent="0.3">
      <c r="A35" t="s">
        <v>35</v>
      </c>
      <c r="B35" t="s">
        <v>139</v>
      </c>
      <c r="C35">
        <v>89.075630252100851</v>
      </c>
      <c r="D35">
        <v>91.596638655462186</v>
      </c>
      <c r="E35">
        <v>1</v>
      </c>
      <c r="F35">
        <v>1</v>
      </c>
      <c r="G35">
        <v>106</v>
      </c>
      <c r="H35">
        <v>109</v>
      </c>
      <c r="I35">
        <v>120</v>
      </c>
      <c r="J35">
        <v>120</v>
      </c>
      <c r="K35">
        <v>0.83333333333333337</v>
      </c>
      <c r="L35">
        <v>0.83333333333333337</v>
      </c>
      <c r="M35">
        <v>0.30937735849056219</v>
      </c>
      <c r="N35">
        <v>0.33459633027522645</v>
      </c>
      <c r="O35">
        <f>_xlfn.XLOOKUP(S35, AnglePowerMatching!$H:$H, AnglePowerMatching!$C:$C, "NaN")</f>
        <v>26</v>
      </c>
      <c r="P35">
        <f>_xlfn.XLOOKUP(S35, AnglePowerMatching!$H:$H, AnglePowerMatching!$D:$D, "NaN")</f>
        <v>5</v>
      </c>
      <c r="Q35" t="b">
        <f t="shared" si="1"/>
        <v>1</v>
      </c>
      <c r="R35">
        <f>VALUE(_xlfn.TEXTBEFORE(A35, {"L","R"}, , , , A35))</f>
        <v>1030</v>
      </c>
      <c r="S35" t="str">
        <f t="shared" si="0"/>
        <v>103020251111</v>
      </c>
    </row>
    <row r="36" spans="1:19" x14ac:dyDescent="0.3">
      <c r="A36" t="s">
        <v>35</v>
      </c>
      <c r="B36" t="s">
        <v>140</v>
      </c>
      <c r="C36">
        <v>82</v>
      </c>
      <c r="D36">
        <v>86.440677966101703</v>
      </c>
      <c r="E36">
        <v>70</v>
      </c>
      <c r="F36">
        <v>61</v>
      </c>
      <c r="G36">
        <v>41</v>
      </c>
      <c r="H36">
        <v>51</v>
      </c>
      <c r="I36">
        <v>120</v>
      </c>
      <c r="J36">
        <v>120</v>
      </c>
      <c r="K36">
        <v>58.333333333333336</v>
      </c>
      <c r="L36">
        <v>50.833333333333329</v>
      </c>
      <c r="M36">
        <v>0.38758536585365783</v>
      </c>
      <c r="N36">
        <v>0.3810980392156853</v>
      </c>
      <c r="O36">
        <f>_xlfn.XLOOKUP(S36, AnglePowerMatching!$H:$H, AnglePowerMatching!$C:$C, "NaN")</f>
        <v>26</v>
      </c>
      <c r="P36">
        <f>_xlfn.XLOOKUP(S36, AnglePowerMatching!$H:$H, AnglePowerMatching!$D:$D, "NaN")</f>
        <v>10</v>
      </c>
      <c r="Q36" t="b">
        <f t="shared" si="1"/>
        <v>1</v>
      </c>
      <c r="R36">
        <f>VALUE(_xlfn.TEXTBEFORE(A36, {"L","R"}, , , , A36))</f>
        <v>1030</v>
      </c>
      <c r="S36" t="str">
        <f t="shared" si="0"/>
        <v>103020251112</v>
      </c>
    </row>
    <row r="37" spans="1:19" x14ac:dyDescent="0.3">
      <c r="A37" t="s">
        <v>35</v>
      </c>
      <c r="B37" t="s">
        <v>141</v>
      </c>
      <c r="C37">
        <v>92.241379310344826</v>
      </c>
      <c r="D37">
        <v>88.135593220338976</v>
      </c>
      <c r="E37">
        <v>4</v>
      </c>
      <c r="F37">
        <v>2</v>
      </c>
      <c r="G37">
        <v>107</v>
      </c>
      <c r="H37">
        <v>104</v>
      </c>
      <c r="I37">
        <v>120</v>
      </c>
      <c r="J37">
        <v>120</v>
      </c>
      <c r="K37">
        <v>3.3333333333333335</v>
      </c>
      <c r="L37">
        <v>1.6666666666666667</v>
      </c>
      <c r="M37">
        <v>0.40121495327103007</v>
      </c>
      <c r="N37">
        <v>0.3785384615384535</v>
      </c>
      <c r="O37">
        <f>_xlfn.XLOOKUP(S37, AnglePowerMatching!$H:$H, AnglePowerMatching!$C:$C, "NaN")</f>
        <v>16</v>
      </c>
      <c r="P37">
        <f>_xlfn.XLOOKUP(S37, AnglePowerMatching!$H:$H, AnglePowerMatching!$D:$D, "NaN")</f>
        <v>3</v>
      </c>
      <c r="Q37" t="b">
        <f t="shared" si="1"/>
        <v>1</v>
      </c>
      <c r="R37">
        <f>VALUE(_xlfn.TEXTBEFORE(A37, {"L","R"}, , , , A37))</f>
        <v>1030</v>
      </c>
      <c r="S37" t="str">
        <f t="shared" si="0"/>
        <v>103020251117</v>
      </c>
    </row>
    <row r="38" spans="1:19" x14ac:dyDescent="0.3">
      <c r="A38" t="s">
        <v>35</v>
      </c>
      <c r="B38" t="s">
        <v>142</v>
      </c>
      <c r="C38">
        <v>91.525423728813564</v>
      </c>
      <c r="D38">
        <v>90.833333333333329</v>
      </c>
      <c r="E38">
        <v>2</v>
      </c>
      <c r="F38">
        <v>0</v>
      </c>
      <c r="G38">
        <v>108</v>
      </c>
      <c r="H38">
        <v>109</v>
      </c>
      <c r="I38">
        <v>120</v>
      </c>
      <c r="J38">
        <v>120</v>
      </c>
      <c r="K38">
        <v>1.6666666666666667</v>
      </c>
      <c r="L38">
        <v>0</v>
      </c>
      <c r="M38">
        <v>0.50915740740741022</v>
      </c>
      <c r="N38">
        <v>0.50276146788990583</v>
      </c>
      <c r="O38">
        <f>_xlfn.XLOOKUP(S38, AnglePowerMatching!$H:$H, AnglePowerMatching!$C:$C, "NaN")</f>
        <v>16</v>
      </c>
      <c r="P38">
        <f>_xlfn.XLOOKUP(S38, AnglePowerMatching!$H:$H, AnglePowerMatching!$D:$D, "NaN")</f>
        <v>5</v>
      </c>
      <c r="Q38" t="b">
        <f t="shared" si="1"/>
        <v>1</v>
      </c>
      <c r="R38">
        <f>VALUE(_xlfn.TEXTBEFORE(A38, {"L","R"}, , , , A38))</f>
        <v>1030</v>
      </c>
      <c r="S38" t="str">
        <f t="shared" si="0"/>
        <v>103020251118</v>
      </c>
    </row>
    <row r="39" spans="1:19" x14ac:dyDescent="0.3">
      <c r="A39" t="s">
        <v>35</v>
      </c>
      <c r="B39" t="s">
        <v>143</v>
      </c>
      <c r="C39">
        <v>65.094339622641513</v>
      </c>
      <c r="D39">
        <v>69.811320754716974</v>
      </c>
      <c r="E39">
        <v>14</v>
      </c>
      <c r="F39">
        <v>14</v>
      </c>
      <c r="G39">
        <v>69</v>
      </c>
      <c r="H39">
        <v>74</v>
      </c>
      <c r="I39">
        <v>120</v>
      </c>
      <c r="J39">
        <v>120</v>
      </c>
      <c r="K39">
        <v>11.666666666666666</v>
      </c>
      <c r="L39">
        <v>11.666666666666666</v>
      </c>
      <c r="M39">
        <v>0.41863768115940558</v>
      </c>
      <c r="N39">
        <v>0.42555405405404212</v>
      </c>
      <c r="O39">
        <f>_xlfn.XLOOKUP(S39, AnglePowerMatching!$H:$H, AnglePowerMatching!$C:$C, "NaN")</f>
        <v>16</v>
      </c>
      <c r="P39">
        <f>_xlfn.XLOOKUP(S39, AnglePowerMatching!$H:$H, AnglePowerMatching!$D:$D, "NaN")</f>
        <v>10</v>
      </c>
      <c r="Q39" t="b">
        <f t="shared" si="1"/>
        <v>1</v>
      </c>
      <c r="R39">
        <f>VALUE(_xlfn.TEXTBEFORE(A39, {"L","R"}, , , , A39))</f>
        <v>1030</v>
      </c>
      <c r="S39" t="str">
        <f t="shared" si="0"/>
        <v>103020251119</v>
      </c>
    </row>
    <row r="40" spans="1:19" x14ac:dyDescent="0.3">
      <c r="A40" t="s">
        <v>35</v>
      </c>
      <c r="B40" t="s">
        <v>45</v>
      </c>
      <c r="C40">
        <v>55.844155844155843</v>
      </c>
      <c r="D40">
        <v>56.97674418604651</v>
      </c>
      <c r="E40">
        <v>44</v>
      </c>
      <c r="F40">
        <v>35</v>
      </c>
      <c r="G40">
        <v>43</v>
      </c>
      <c r="H40">
        <v>49</v>
      </c>
      <c r="I40">
        <v>121</v>
      </c>
      <c r="J40">
        <v>121</v>
      </c>
      <c r="K40">
        <v>36.363636363636367</v>
      </c>
      <c r="L40">
        <v>28.925619834710741</v>
      </c>
      <c r="M40">
        <v>0.23565116279068807</v>
      </c>
      <c r="N40">
        <v>0.25642857142856201</v>
      </c>
      <c r="O40">
        <f>_xlfn.XLOOKUP(S40, AnglePowerMatching!$H:$H, AnglePowerMatching!$C:$C, "NaN")</f>
        <v>66</v>
      </c>
      <c r="P40" t="str">
        <f>_xlfn.XLOOKUP(S40, AnglePowerMatching!$H:$H, AnglePowerMatching!$D:$D, "NaN")</f>
        <v>3 masker</v>
      </c>
      <c r="Q40" t="b">
        <f t="shared" si="1"/>
        <v>1</v>
      </c>
      <c r="R40">
        <f>VALUE(_xlfn.TEXTBEFORE(A40, {"L","R"}, , , , A40))</f>
        <v>1030</v>
      </c>
      <c r="S40" t="str">
        <f t="shared" si="0"/>
        <v>103020251215</v>
      </c>
    </row>
    <row r="41" spans="1:19" x14ac:dyDescent="0.3">
      <c r="A41" t="s">
        <v>35</v>
      </c>
      <c r="B41" t="s">
        <v>47</v>
      </c>
      <c r="C41">
        <v>54.54545454545454</v>
      </c>
      <c r="D41">
        <v>54.098360655737707</v>
      </c>
      <c r="E41">
        <v>0</v>
      </c>
      <c r="F41">
        <v>0</v>
      </c>
      <c r="G41">
        <v>66</v>
      </c>
      <c r="H41">
        <v>66</v>
      </c>
      <c r="I41">
        <v>121</v>
      </c>
      <c r="J41">
        <v>122</v>
      </c>
      <c r="K41">
        <v>0</v>
      </c>
      <c r="L41">
        <v>0</v>
      </c>
      <c r="M41">
        <v>0.18689393939395033</v>
      </c>
      <c r="N41">
        <v>0.15080303030303607</v>
      </c>
      <c r="O41">
        <f>_xlfn.XLOOKUP(S41, AnglePowerMatching!$H:$H, AnglePowerMatching!$C:$C, "NaN")</f>
        <v>66</v>
      </c>
      <c r="P41" t="str">
        <f>_xlfn.XLOOKUP(S41, AnglePowerMatching!$H:$H, AnglePowerMatching!$D:$D, "NaN")</f>
        <v>3 masker</v>
      </c>
      <c r="Q41" t="b">
        <f t="shared" si="1"/>
        <v>1</v>
      </c>
      <c r="R41">
        <f>VALUE(_xlfn.TEXTBEFORE(A41, {"L","R"}, , , , A41))</f>
        <v>1030</v>
      </c>
      <c r="S41" t="str">
        <f t="shared" si="0"/>
        <v>103020251217</v>
      </c>
    </row>
    <row r="42" spans="1:19" x14ac:dyDescent="0.3">
      <c r="A42" t="s">
        <v>35</v>
      </c>
      <c r="B42" t="s">
        <v>48</v>
      </c>
      <c r="C42">
        <v>50</v>
      </c>
      <c r="D42">
        <v>54.621848739495796</v>
      </c>
      <c r="E42">
        <v>2</v>
      </c>
      <c r="F42">
        <v>1</v>
      </c>
      <c r="G42">
        <v>59</v>
      </c>
      <c r="H42">
        <v>65</v>
      </c>
      <c r="I42">
        <v>120</v>
      </c>
      <c r="J42">
        <v>120</v>
      </c>
      <c r="K42">
        <v>1.6666666666666667</v>
      </c>
      <c r="L42">
        <v>0.83333333333333337</v>
      </c>
      <c r="M42">
        <v>0.169491525423727</v>
      </c>
      <c r="N42">
        <v>0.18509230769229965</v>
      </c>
      <c r="O42">
        <f>_xlfn.XLOOKUP(S42, AnglePowerMatching!$H:$H, AnglePowerMatching!$C:$C, "NaN")</f>
        <v>66</v>
      </c>
      <c r="P42" t="str">
        <f>_xlfn.XLOOKUP(S42, AnglePowerMatching!$H:$H, AnglePowerMatching!$D:$D, "NaN")</f>
        <v>3 masker</v>
      </c>
      <c r="Q42" t="b">
        <f t="shared" si="1"/>
        <v>1</v>
      </c>
      <c r="R42">
        <f>VALUE(_xlfn.TEXTBEFORE(A42, {"L","R"}, , , , A42))</f>
        <v>1030</v>
      </c>
      <c r="S42" t="str">
        <f t="shared" si="0"/>
        <v>103020251218</v>
      </c>
    </row>
    <row r="43" spans="1:19" x14ac:dyDescent="0.3">
      <c r="A43" t="s">
        <v>35</v>
      </c>
      <c r="B43" t="s">
        <v>49</v>
      </c>
      <c r="C43">
        <v>66.949152542372886</v>
      </c>
      <c r="D43">
        <v>68.103448275862064</v>
      </c>
      <c r="E43">
        <v>2</v>
      </c>
      <c r="F43">
        <v>4</v>
      </c>
      <c r="G43">
        <v>79</v>
      </c>
      <c r="H43">
        <v>79</v>
      </c>
      <c r="I43">
        <v>120</v>
      </c>
      <c r="J43">
        <v>120</v>
      </c>
      <c r="K43">
        <v>1.6666666666666667</v>
      </c>
      <c r="L43">
        <v>3.3333333333333335</v>
      </c>
      <c r="M43">
        <v>0.24762025316456787</v>
      </c>
      <c r="N43">
        <v>0.24563291139239549</v>
      </c>
      <c r="O43">
        <f>_xlfn.XLOOKUP(S43, AnglePowerMatching!$H:$H, AnglePowerMatching!$C:$C, "NaN")</f>
        <v>66</v>
      </c>
      <c r="P43">
        <f>_xlfn.XLOOKUP(S43, AnglePowerMatching!$H:$H, AnglePowerMatching!$D:$D, "NaN")</f>
        <v>10</v>
      </c>
      <c r="Q43" t="b">
        <f t="shared" si="1"/>
        <v>1</v>
      </c>
      <c r="R43">
        <f>VALUE(_xlfn.TEXTBEFORE(A43, {"L","R"}, , , , A43))</f>
        <v>1030</v>
      </c>
      <c r="S43" t="str">
        <f t="shared" si="0"/>
        <v>103020251230</v>
      </c>
    </row>
    <row r="44" spans="1:19" x14ac:dyDescent="0.3">
      <c r="A44" t="s">
        <v>1</v>
      </c>
      <c r="B44" t="s">
        <v>40</v>
      </c>
      <c r="C44">
        <v>73.109243697478988</v>
      </c>
      <c r="D44">
        <v>70.833333333333343</v>
      </c>
      <c r="E44">
        <v>1</v>
      </c>
      <c r="F44">
        <v>0</v>
      </c>
      <c r="G44">
        <v>87</v>
      </c>
      <c r="H44">
        <v>85</v>
      </c>
      <c r="I44">
        <v>120</v>
      </c>
      <c r="J44">
        <v>120</v>
      </c>
      <c r="K44">
        <v>0.83333333333333337</v>
      </c>
      <c r="L44">
        <v>0</v>
      </c>
      <c r="M44">
        <v>0.21977011494253276</v>
      </c>
      <c r="N44">
        <v>0.22056470588235283</v>
      </c>
      <c r="O44">
        <f>_xlfn.XLOOKUP(S44, AnglePowerMatching!$H:$H, AnglePowerMatching!$C:$C, "NaN")</f>
        <v>66</v>
      </c>
      <c r="P44">
        <f>_xlfn.XLOOKUP(S44, AnglePowerMatching!$H:$H, AnglePowerMatching!$D:$D, "NaN")</f>
        <v>3</v>
      </c>
      <c r="Q44" t="b">
        <f t="shared" si="1"/>
        <v>1</v>
      </c>
      <c r="R44">
        <f>VALUE(_xlfn.TEXTBEFORE(A44, {"L","R"}, , , , A44))</f>
        <v>1031</v>
      </c>
      <c r="S44" t="str">
        <f t="shared" si="0"/>
        <v>103120251122</v>
      </c>
    </row>
    <row r="45" spans="1:19" x14ac:dyDescent="0.3">
      <c r="A45" t="s">
        <v>1</v>
      </c>
      <c r="B45" t="s">
        <v>41</v>
      </c>
      <c r="C45">
        <v>56.666666666666664</v>
      </c>
      <c r="D45">
        <v>55.000000000000007</v>
      </c>
      <c r="E45">
        <v>0</v>
      </c>
      <c r="F45">
        <v>0</v>
      </c>
      <c r="G45">
        <v>68</v>
      </c>
      <c r="H45">
        <v>66</v>
      </c>
      <c r="I45">
        <v>120</v>
      </c>
      <c r="J45">
        <v>120</v>
      </c>
      <c r="K45">
        <v>0</v>
      </c>
      <c r="L45">
        <v>0</v>
      </c>
      <c r="M45">
        <v>0.21952941176470814</v>
      </c>
      <c r="N45">
        <v>0.21506060606060415</v>
      </c>
      <c r="O45">
        <f>_xlfn.XLOOKUP(S45, AnglePowerMatching!$H:$H, AnglePowerMatching!$C:$C, "NaN")</f>
        <v>66</v>
      </c>
      <c r="P45">
        <f>_xlfn.XLOOKUP(S45, AnglePowerMatching!$H:$H, AnglePowerMatching!$D:$D, "NaN")</f>
        <v>5</v>
      </c>
      <c r="Q45" t="b">
        <f t="shared" si="1"/>
        <v>1</v>
      </c>
      <c r="R45">
        <f>VALUE(_xlfn.TEXTBEFORE(A45, {"L","R"}, , , , A45))</f>
        <v>1031</v>
      </c>
      <c r="S45" t="str">
        <f t="shared" si="0"/>
        <v>103120251123</v>
      </c>
    </row>
    <row r="46" spans="1:19" x14ac:dyDescent="0.3">
      <c r="A46" t="s">
        <v>1</v>
      </c>
      <c r="B46" t="s">
        <v>42</v>
      </c>
      <c r="C46">
        <v>65</v>
      </c>
      <c r="D46">
        <v>64.166666666666671</v>
      </c>
      <c r="E46">
        <v>0</v>
      </c>
      <c r="F46">
        <v>0</v>
      </c>
      <c r="G46">
        <v>78</v>
      </c>
      <c r="H46">
        <v>77</v>
      </c>
      <c r="I46">
        <v>120</v>
      </c>
      <c r="J46">
        <v>120</v>
      </c>
      <c r="K46">
        <v>0</v>
      </c>
      <c r="L46">
        <v>0</v>
      </c>
      <c r="M46">
        <v>0.20064102564102407</v>
      </c>
      <c r="N46">
        <v>0.18679220779221206</v>
      </c>
      <c r="O46">
        <f>_xlfn.XLOOKUP(S46, AnglePowerMatching!$H:$H, AnglePowerMatching!$C:$C, "NaN")</f>
        <v>66</v>
      </c>
      <c r="P46">
        <f>_xlfn.XLOOKUP(S46, AnglePowerMatching!$H:$H, AnglePowerMatching!$D:$D, "NaN")</f>
        <v>10</v>
      </c>
      <c r="Q46" t="b">
        <f t="shared" si="1"/>
        <v>1</v>
      </c>
      <c r="R46">
        <f>VALUE(_xlfn.TEXTBEFORE(A46, {"L","R"}, , , , A46))</f>
        <v>1031</v>
      </c>
      <c r="S46" t="str">
        <f t="shared" si="0"/>
        <v>103120251124</v>
      </c>
    </row>
    <row r="47" spans="1:19" x14ac:dyDescent="0.3">
      <c r="A47" t="s">
        <v>1</v>
      </c>
      <c r="B47" t="s">
        <v>43</v>
      </c>
      <c r="C47">
        <v>79.310344827586206</v>
      </c>
      <c r="D47">
        <v>71.05263157894737</v>
      </c>
      <c r="E47">
        <v>4</v>
      </c>
      <c r="F47">
        <v>6</v>
      </c>
      <c r="G47">
        <v>92</v>
      </c>
      <c r="H47">
        <v>81</v>
      </c>
      <c r="I47">
        <v>120</v>
      </c>
      <c r="J47">
        <v>120</v>
      </c>
      <c r="K47">
        <v>3.3333333333333335</v>
      </c>
      <c r="L47">
        <v>5</v>
      </c>
      <c r="M47">
        <v>0.2699456521739067</v>
      </c>
      <c r="N47">
        <v>0.24641975308643213</v>
      </c>
      <c r="O47">
        <f>_xlfn.XLOOKUP(S47, AnglePowerMatching!$H:$H, AnglePowerMatching!$C:$C, "NaN")</f>
        <v>90</v>
      </c>
      <c r="P47">
        <f>_xlfn.XLOOKUP(S47, AnglePowerMatching!$H:$H, AnglePowerMatching!$D:$D, "NaN")</f>
        <v>3</v>
      </c>
      <c r="Q47" t="b">
        <f t="shared" si="1"/>
        <v>1</v>
      </c>
      <c r="R47">
        <f>VALUE(_xlfn.TEXTBEFORE(A47, {"L","R"}, , , , A47))</f>
        <v>1031</v>
      </c>
      <c r="S47" t="str">
        <f t="shared" si="0"/>
        <v>103120251212</v>
      </c>
    </row>
    <row r="48" spans="1:19" x14ac:dyDescent="0.3">
      <c r="A48" t="s">
        <v>1</v>
      </c>
      <c r="B48" t="s">
        <v>44</v>
      </c>
      <c r="C48">
        <v>72.477064220183479</v>
      </c>
      <c r="D48">
        <v>73.214285714285708</v>
      </c>
      <c r="E48">
        <v>11</v>
      </c>
      <c r="F48">
        <v>8</v>
      </c>
      <c r="G48">
        <v>79</v>
      </c>
      <c r="H48">
        <v>82</v>
      </c>
      <c r="I48">
        <v>120</v>
      </c>
      <c r="J48">
        <v>120</v>
      </c>
      <c r="K48">
        <v>9.1666666666666661</v>
      </c>
      <c r="L48">
        <v>6.666666666666667</v>
      </c>
      <c r="M48">
        <v>0.27644303797468489</v>
      </c>
      <c r="N48">
        <v>0.25739024390243725</v>
      </c>
      <c r="O48">
        <f>_xlfn.XLOOKUP(S48, AnglePowerMatching!$H:$H, AnglePowerMatching!$C:$C, "NaN")</f>
        <v>90</v>
      </c>
      <c r="P48">
        <f>_xlfn.XLOOKUP(S48, AnglePowerMatching!$H:$H, AnglePowerMatching!$D:$D, "NaN")</f>
        <v>5</v>
      </c>
      <c r="Q48" t="b">
        <f t="shared" si="1"/>
        <v>1</v>
      </c>
      <c r="R48">
        <f>VALUE(_xlfn.TEXTBEFORE(A48, {"L","R"}, , , , A48))</f>
        <v>1031</v>
      </c>
      <c r="S48" t="str">
        <f t="shared" si="0"/>
        <v>103120251213</v>
      </c>
    </row>
    <row r="49" spans="1:19" x14ac:dyDescent="0.3">
      <c r="A49" t="s">
        <v>1</v>
      </c>
      <c r="B49" t="s">
        <v>45</v>
      </c>
      <c r="C49">
        <v>79.775280898876403</v>
      </c>
      <c r="D49">
        <v>71.910112359550567</v>
      </c>
      <c r="E49">
        <v>31</v>
      </c>
      <c r="F49">
        <v>31</v>
      </c>
      <c r="G49">
        <v>71</v>
      </c>
      <c r="H49">
        <v>64</v>
      </c>
      <c r="I49">
        <v>120</v>
      </c>
      <c r="J49">
        <v>120</v>
      </c>
      <c r="K49">
        <v>25.833333333333336</v>
      </c>
      <c r="L49">
        <v>25.833333333333336</v>
      </c>
      <c r="M49">
        <v>0.96139436619718033</v>
      </c>
      <c r="N49">
        <v>0.84771875000001695</v>
      </c>
      <c r="O49">
        <f>_xlfn.XLOOKUP(S49, AnglePowerMatching!$H:$H, AnglePowerMatching!$C:$C, "NaN")</f>
        <v>90</v>
      </c>
      <c r="P49">
        <f>_xlfn.XLOOKUP(S49, AnglePowerMatching!$H:$H, AnglePowerMatching!$D:$D, "NaN")</f>
        <v>10</v>
      </c>
      <c r="Q49" t="b">
        <f t="shared" si="1"/>
        <v>1</v>
      </c>
      <c r="R49">
        <f>VALUE(_xlfn.TEXTBEFORE(A49, {"L","R"}, , , , A49))</f>
        <v>1031</v>
      </c>
      <c r="S49" t="str">
        <f t="shared" si="0"/>
        <v>103120251215</v>
      </c>
    </row>
    <row r="50" spans="1:19" x14ac:dyDescent="0.3">
      <c r="A50" t="s">
        <v>1</v>
      </c>
      <c r="B50" t="s">
        <v>46</v>
      </c>
      <c r="C50">
        <v>40.833333333333336</v>
      </c>
      <c r="D50">
        <v>36.286919831223628</v>
      </c>
      <c r="E50">
        <v>0</v>
      </c>
      <c r="F50">
        <v>3</v>
      </c>
      <c r="G50">
        <v>98</v>
      </c>
      <c r="H50">
        <v>86</v>
      </c>
      <c r="I50">
        <v>240</v>
      </c>
      <c r="J50">
        <v>240</v>
      </c>
      <c r="K50">
        <v>0</v>
      </c>
      <c r="L50">
        <v>1.25</v>
      </c>
      <c r="M50">
        <v>0.30175510204081862</v>
      </c>
      <c r="N50">
        <v>0.33576744186048441</v>
      </c>
      <c r="O50">
        <f>_xlfn.XLOOKUP(S50, AnglePowerMatching!$H:$H, AnglePowerMatching!$C:$C, "NaN")</f>
        <v>90</v>
      </c>
      <c r="P50">
        <f>_xlfn.XLOOKUP(S50, AnglePowerMatching!$H:$H, AnglePowerMatching!$D:$D, "NaN")</f>
        <v>10</v>
      </c>
      <c r="Q50" t="b">
        <f t="shared" si="1"/>
        <v>1</v>
      </c>
      <c r="R50">
        <f>VALUE(_xlfn.TEXTBEFORE(A50, {"L","R"}, , , , A50))</f>
        <v>1031</v>
      </c>
      <c r="S50" t="str">
        <f t="shared" si="0"/>
        <v>103120251216</v>
      </c>
    </row>
    <row r="51" spans="1:19" x14ac:dyDescent="0.3">
      <c r="A51" t="s">
        <v>1</v>
      </c>
      <c r="B51" t="s">
        <v>47</v>
      </c>
      <c r="C51">
        <v>63.70967741935484</v>
      </c>
      <c r="D51">
        <v>64</v>
      </c>
      <c r="E51">
        <v>0</v>
      </c>
      <c r="F51">
        <v>0</v>
      </c>
      <c r="G51">
        <v>79</v>
      </c>
      <c r="H51">
        <v>80</v>
      </c>
      <c r="I51">
        <v>124</v>
      </c>
      <c r="J51">
        <v>125</v>
      </c>
      <c r="K51">
        <v>0</v>
      </c>
      <c r="L51">
        <v>0</v>
      </c>
      <c r="M51">
        <v>0.20270886075950631</v>
      </c>
      <c r="N51">
        <v>0.2068500000000042</v>
      </c>
      <c r="O51">
        <f>_xlfn.XLOOKUP(S51, AnglePowerMatching!$H:$H, AnglePowerMatching!$C:$C, "NaN")</f>
        <v>90</v>
      </c>
      <c r="P51">
        <f>_xlfn.XLOOKUP(S51, AnglePowerMatching!$H:$H, AnglePowerMatching!$D:$D, "NaN")</f>
        <v>10</v>
      </c>
      <c r="Q51" t="b">
        <f t="shared" si="1"/>
        <v>1</v>
      </c>
      <c r="R51">
        <f>VALUE(_xlfn.TEXTBEFORE(A51, {"L","R"}, , , , A51))</f>
        <v>1031</v>
      </c>
      <c r="S51" t="str">
        <f t="shared" si="0"/>
        <v>103120251217</v>
      </c>
    </row>
    <row r="52" spans="1:19" x14ac:dyDescent="0.3">
      <c r="A52" t="s">
        <v>1</v>
      </c>
      <c r="B52" t="s">
        <v>48</v>
      </c>
      <c r="C52">
        <v>51.666666666666671</v>
      </c>
      <c r="D52">
        <v>56.666666666666664</v>
      </c>
      <c r="E52">
        <v>0</v>
      </c>
      <c r="F52">
        <v>0</v>
      </c>
      <c r="G52">
        <v>62</v>
      </c>
      <c r="H52">
        <v>68</v>
      </c>
      <c r="I52">
        <v>120</v>
      </c>
      <c r="J52">
        <v>120</v>
      </c>
      <c r="K52">
        <v>0</v>
      </c>
      <c r="L52">
        <v>0</v>
      </c>
      <c r="M52">
        <v>0.2188548387096852</v>
      </c>
      <c r="N52">
        <v>0.21092647058822345</v>
      </c>
      <c r="O52">
        <f>_xlfn.XLOOKUP(S52, AnglePowerMatching!$H:$H, AnglePowerMatching!$C:$C, "NaN")</f>
        <v>90</v>
      </c>
      <c r="P52">
        <f>_xlfn.XLOOKUP(S52, AnglePowerMatching!$H:$H, AnglePowerMatching!$D:$D, "NaN")</f>
        <v>5</v>
      </c>
      <c r="Q52" t="b">
        <f t="shared" si="1"/>
        <v>1</v>
      </c>
      <c r="R52">
        <f>VALUE(_xlfn.TEXTBEFORE(A52, {"L","R"}, , , , A52))</f>
        <v>1031</v>
      </c>
      <c r="S52" t="str">
        <f t="shared" si="0"/>
        <v>103120251218</v>
      </c>
    </row>
    <row r="53" spans="1:19" x14ac:dyDescent="0.3">
      <c r="A53" t="s">
        <v>1</v>
      </c>
      <c r="B53" t="s">
        <v>53</v>
      </c>
      <c r="C53">
        <v>64.166666666666671</v>
      </c>
      <c r="D53">
        <v>70</v>
      </c>
      <c r="E53">
        <v>0</v>
      </c>
      <c r="F53">
        <v>0</v>
      </c>
      <c r="G53">
        <v>77</v>
      </c>
      <c r="H53">
        <v>84</v>
      </c>
      <c r="I53">
        <v>120</v>
      </c>
      <c r="J53">
        <v>120</v>
      </c>
      <c r="K53">
        <v>0</v>
      </c>
      <c r="L53">
        <v>0</v>
      </c>
      <c r="M53">
        <v>0.22964935064935477</v>
      </c>
      <c r="N53">
        <v>0.23244047619046568</v>
      </c>
      <c r="O53">
        <f>_xlfn.XLOOKUP(S53, AnglePowerMatching!$H:$H, AnglePowerMatching!$C:$C, "NaN")</f>
        <v>35</v>
      </c>
      <c r="P53">
        <f>_xlfn.XLOOKUP(S53, AnglePowerMatching!$H:$H, AnglePowerMatching!$D:$D, "NaN")</f>
        <v>3</v>
      </c>
      <c r="Q53" t="b">
        <f t="shared" si="1"/>
        <v>1</v>
      </c>
      <c r="R53">
        <f>VALUE(_xlfn.TEXTBEFORE(A53, {"L","R"}, , , , A53))</f>
        <v>1031</v>
      </c>
      <c r="S53" t="str">
        <f t="shared" si="0"/>
        <v>103120260109</v>
      </c>
    </row>
    <row r="54" spans="1:19" x14ac:dyDescent="0.3">
      <c r="A54" t="s">
        <v>1</v>
      </c>
      <c r="B54" t="s">
        <v>54</v>
      </c>
      <c r="C54">
        <v>72.268907563025209</v>
      </c>
      <c r="D54">
        <v>82.203389830508485</v>
      </c>
      <c r="E54">
        <v>1</v>
      </c>
      <c r="F54">
        <v>2</v>
      </c>
      <c r="G54">
        <v>86</v>
      </c>
      <c r="H54">
        <v>97</v>
      </c>
      <c r="I54">
        <v>120</v>
      </c>
      <c r="J54">
        <v>120</v>
      </c>
      <c r="K54">
        <v>0.83333333333333337</v>
      </c>
      <c r="L54">
        <v>1.6666666666666667</v>
      </c>
      <c r="M54">
        <v>0.30811627906975225</v>
      </c>
      <c r="N54">
        <v>0.29112371134019949</v>
      </c>
      <c r="O54">
        <f>_xlfn.XLOOKUP(S54, AnglePowerMatching!$H:$H, AnglePowerMatching!$C:$C, "NaN")</f>
        <v>35</v>
      </c>
      <c r="P54">
        <f>_xlfn.XLOOKUP(S54, AnglePowerMatching!$H:$H, AnglePowerMatching!$D:$D, "NaN")</f>
        <v>5</v>
      </c>
      <c r="Q54" t="b">
        <f t="shared" si="1"/>
        <v>1</v>
      </c>
      <c r="R54">
        <f>VALUE(_xlfn.TEXTBEFORE(A54, {"L","R"}, , , , A54))</f>
        <v>1031</v>
      </c>
      <c r="S54" t="str">
        <f t="shared" si="0"/>
        <v>103120260110</v>
      </c>
    </row>
    <row r="55" spans="1:19" x14ac:dyDescent="0.3">
      <c r="A55" t="s">
        <v>1</v>
      </c>
      <c r="B55" t="s">
        <v>71</v>
      </c>
      <c r="C55">
        <v>54.166666666666664</v>
      </c>
      <c r="D55">
        <v>54.166666666666664</v>
      </c>
      <c r="E55">
        <v>0</v>
      </c>
      <c r="F55">
        <v>0</v>
      </c>
      <c r="G55">
        <v>65</v>
      </c>
      <c r="H55">
        <v>65</v>
      </c>
      <c r="I55">
        <v>120</v>
      </c>
      <c r="J55">
        <v>120</v>
      </c>
      <c r="K55">
        <v>0</v>
      </c>
      <c r="L55">
        <v>0</v>
      </c>
      <c r="M55">
        <v>0.22067692307691866</v>
      </c>
      <c r="N55">
        <v>0.20215384615384457</v>
      </c>
      <c r="O55">
        <f>_xlfn.XLOOKUP(S55, AnglePowerMatching!$H:$H, AnglePowerMatching!$C:$C, "NaN")</f>
        <v>35</v>
      </c>
      <c r="P55">
        <f>_xlfn.XLOOKUP(S55, AnglePowerMatching!$H:$H, AnglePowerMatching!$D:$D, "NaN")</f>
        <v>10</v>
      </c>
      <c r="Q55" t="b">
        <f t="shared" si="1"/>
        <v>1</v>
      </c>
      <c r="R55">
        <f>VALUE(_xlfn.TEXTBEFORE(A55, {"L","R"}, , , , A55))</f>
        <v>1031</v>
      </c>
      <c r="S55" t="str">
        <f t="shared" si="0"/>
        <v>103120260111</v>
      </c>
    </row>
    <row r="56" spans="1:19" x14ac:dyDescent="0.3">
      <c r="A56" t="s">
        <v>1</v>
      </c>
      <c r="B56" t="s">
        <v>7</v>
      </c>
      <c r="C56">
        <v>47.5</v>
      </c>
      <c r="D56">
        <v>52.100840336134461</v>
      </c>
      <c r="E56">
        <v>0</v>
      </c>
      <c r="F56">
        <v>1</v>
      </c>
      <c r="G56">
        <v>57</v>
      </c>
      <c r="H56">
        <v>62</v>
      </c>
      <c r="I56">
        <v>120</v>
      </c>
      <c r="J56">
        <v>120</v>
      </c>
      <c r="K56">
        <v>0</v>
      </c>
      <c r="L56">
        <v>0.83333333333333337</v>
      </c>
      <c r="M56">
        <v>0.25163157894736493</v>
      </c>
      <c r="N56">
        <v>0.22275806451613203</v>
      </c>
      <c r="O56">
        <f>_xlfn.XLOOKUP(S56, AnglePowerMatching!$H:$H, AnglePowerMatching!$C:$C, "NaN")</f>
        <v>35</v>
      </c>
      <c r="P56">
        <f>_xlfn.XLOOKUP(S56, AnglePowerMatching!$H:$H, AnglePowerMatching!$D:$D, "NaN")</f>
        <v>10</v>
      </c>
      <c r="Q56" t="b">
        <f t="shared" si="1"/>
        <v>1</v>
      </c>
      <c r="R56">
        <f>VALUE(_xlfn.TEXTBEFORE(A56, {"L","R"}, , , , A56))</f>
        <v>1031</v>
      </c>
      <c r="S56" t="str">
        <f t="shared" si="0"/>
        <v>103120260115</v>
      </c>
    </row>
    <row r="57" spans="1:19" x14ac:dyDescent="0.3">
      <c r="A57" t="s">
        <v>1</v>
      </c>
      <c r="B57" t="s">
        <v>55</v>
      </c>
      <c r="C57">
        <v>59.82905982905983</v>
      </c>
      <c r="D57">
        <v>56.896551724137936</v>
      </c>
      <c r="E57">
        <v>3</v>
      </c>
      <c r="F57">
        <v>4</v>
      </c>
      <c r="G57">
        <v>70</v>
      </c>
      <c r="H57">
        <v>66</v>
      </c>
      <c r="I57">
        <v>120</v>
      </c>
      <c r="J57">
        <v>120</v>
      </c>
      <c r="K57">
        <v>2.5</v>
      </c>
      <c r="L57">
        <v>3.3333333333333335</v>
      </c>
      <c r="M57">
        <v>0.34045714285714823</v>
      </c>
      <c r="N57">
        <v>0.34719696969697805</v>
      </c>
      <c r="O57">
        <f>_xlfn.XLOOKUP(S57, AnglePowerMatching!$H:$H, AnglePowerMatching!$C:$C, "NaN")</f>
        <v>26</v>
      </c>
      <c r="P57">
        <f>_xlfn.XLOOKUP(S57, AnglePowerMatching!$H:$H, AnglePowerMatching!$D:$D, "NaN")</f>
        <v>3</v>
      </c>
      <c r="Q57" t="b">
        <f t="shared" si="1"/>
        <v>1</v>
      </c>
      <c r="R57">
        <f>VALUE(_xlfn.TEXTBEFORE(A57, {"L","R"}, , , , A57))</f>
        <v>1031</v>
      </c>
      <c r="S57" t="str">
        <f t="shared" si="0"/>
        <v>103120260122</v>
      </c>
    </row>
    <row r="58" spans="1:19" x14ac:dyDescent="0.3">
      <c r="A58" t="s">
        <v>1</v>
      </c>
      <c r="B58" t="s">
        <v>56</v>
      </c>
      <c r="C58">
        <v>85.470085470085465</v>
      </c>
      <c r="D58">
        <v>77.310924369747909</v>
      </c>
      <c r="E58">
        <v>3</v>
      </c>
      <c r="F58">
        <v>1</v>
      </c>
      <c r="G58">
        <v>100</v>
      </c>
      <c r="H58">
        <v>92</v>
      </c>
      <c r="I58">
        <v>120</v>
      </c>
      <c r="J58">
        <v>120</v>
      </c>
      <c r="K58">
        <v>2.5</v>
      </c>
      <c r="L58">
        <v>0.83333333333333337</v>
      </c>
      <c r="M58">
        <v>0.36038000000000642</v>
      </c>
      <c r="N58">
        <v>0.35644565217390406</v>
      </c>
      <c r="O58">
        <f>_xlfn.XLOOKUP(S58, AnglePowerMatching!$H:$H, AnglePowerMatching!$C:$C, "NaN")</f>
        <v>26</v>
      </c>
      <c r="P58">
        <f>_xlfn.XLOOKUP(S58, AnglePowerMatching!$H:$H, AnglePowerMatching!$D:$D, "NaN")</f>
        <v>5</v>
      </c>
      <c r="Q58" t="b">
        <f t="shared" si="1"/>
        <v>1</v>
      </c>
      <c r="R58">
        <f>VALUE(_xlfn.TEXTBEFORE(A58, {"L","R"}, , , , A58))</f>
        <v>1031</v>
      </c>
      <c r="S58" t="str">
        <f t="shared" si="0"/>
        <v>103120260123</v>
      </c>
    </row>
    <row r="59" spans="1:19" x14ac:dyDescent="0.3">
      <c r="A59" t="s">
        <v>1</v>
      </c>
      <c r="B59" t="s">
        <v>72</v>
      </c>
      <c r="C59">
        <v>56.69291338582677</v>
      </c>
      <c r="D59">
        <v>59.055118110236215</v>
      </c>
      <c r="E59">
        <v>0</v>
      </c>
      <c r="F59">
        <v>0</v>
      </c>
      <c r="G59">
        <v>72</v>
      </c>
      <c r="H59">
        <v>75</v>
      </c>
      <c r="I59">
        <v>127</v>
      </c>
      <c r="J59">
        <v>127</v>
      </c>
      <c r="K59">
        <v>0</v>
      </c>
      <c r="L59">
        <v>0</v>
      </c>
      <c r="M59">
        <v>0.26084722222220985</v>
      </c>
      <c r="N59">
        <v>0.25201333333333792</v>
      </c>
      <c r="O59">
        <f>_xlfn.XLOOKUP(S59, AnglePowerMatching!$H:$H, AnglePowerMatching!$C:$C, "NaN")</f>
        <v>16</v>
      </c>
      <c r="P59">
        <f>_xlfn.XLOOKUP(S59, AnglePowerMatching!$H:$H, AnglePowerMatching!$D:$D, "NaN")</f>
        <v>3</v>
      </c>
      <c r="Q59" t="b">
        <f t="shared" si="1"/>
        <v>1</v>
      </c>
      <c r="R59">
        <f>VALUE(_xlfn.TEXTBEFORE(A59, {"L","R"}, , , , A59))</f>
        <v>1031</v>
      </c>
      <c r="S59" t="str">
        <f t="shared" si="0"/>
        <v>103120260202</v>
      </c>
    </row>
    <row r="60" spans="1:19" x14ac:dyDescent="0.3">
      <c r="A60" t="s">
        <v>1</v>
      </c>
      <c r="B60" t="s">
        <v>73</v>
      </c>
      <c r="C60">
        <v>74</v>
      </c>
      <c r="D60">
        <v>70</v>
      </c>
      <c r="E60">
        <v>20</v>
      </c>
      <c r="F60">
        <v>20</v>
      </c>
      <c r="G60">
        <v>74</v>
      </c>
      <c r="H60">
        <v>70</v>
      </c>
      <c r="I60">
        <v>120</v>
      </c>
      <c r="J60">
        <v>120</v>
      </c>
      <c r="K60">
        <v>16.666666666666664</v>
      </c>
      <c r="L60">
        <v>16.666666666666664</v>
      </c>
      <c r="M60">
        <v>0.64959459459458768</v>
      </c>
      <c r="N60">
        <v>0.59780000000000244</v>
      </c>
      <c r="O60">
        <f>_xlfn.XLOOKUP(S60, AnglePowerMatching!$H:$H, AnglePowerMatching!$C:$C, "NaN")</f>
        <v>16</v>
      </c>
      <c r="P60">
        <f>_xlfn.XLOOKUP(S60, AnglePowerMatching!$H:$H, AnglePowerMatching!$D:$D, "NaN")</f>
        <v>5</v>
      </c>
      <c r="Q60" t="b">
        <f t="shared" si="1"/>
        <v>1</v>
      </c>
      <c r="R60">
        <f>VALUE(_xlfn.TEXTBEFORE(A60, {"L","R"}, , , , A60))</f>
        <v>1031</v>
      </c>
      <c r="S60" t="str">
        <f t="shared" si="0"/>
        <v>103120260203</v>
      </c>
    </row>
    <row r="61" spans="1:19" x14ac:dyDescent="0.3">
      <c r="A61" t="s">
        <v>1</v>
      </c>
      <c r="B61" t="s">
        <v>74</v>
      </c>
      <c r="C61">
        <v>58.333333333333336</v>
      </c>
      <c r="D61">
        <v>58.82352941176471</v>
      </c>
      <c r="E61">
        <v>0</v>
      </c>
      <c r="F61">
        <v>1</v>
      </c>
      <c r="G61">
        <v>70</v>
      </c>
      <c r="H61">
        <v>70</v>
      </c>
      <c r="I61">
        <v>120</v>
      </c>
      <c r="J61">
        <v>120</v>
      </c>
      <c r="K61">
        <v>0</v>
      </c>
      <c r="L61">
        <v>0.83333333333333337</v>
      </c>
      <c r="M61">
        <v>0.29287142857142506</v>
      </c>
      <c r="N61">
        <v>0.28064285714286274</v>
      </c>
      <c r="O61">
        <f>_xlfn.XLOOKUP(S61, AnglePowerMatching!$H:$H, AnglePowerMatching!$C:$C, "NaN")</f>
        <v>16</v>
      </c>
      <c r="P61">
        <f>_xlfn.XLOOKUP(S61, AnglePowerMatching!$H:$H, AnglePowerMatching!$D:$D, "NaN")</f>
        <v>10</v>
      </c>
      <c r="Q61" t="b">
        <f t="shared" si="1"/>
        <v>1</v>
      </c>
      <c r="R61">
        <f>VALUE(_xlfn.TEXTBEFORE(A61, {"L","R"}, , , , A61))</f>
        <v>1031</v>
      </c>
      <c r="S61" t="str">
        <f t="shared" si="0"/>
        <v>103120260204</v>
      </c>
    </row>
    <row r="62" spans="1:19" x14ac:dyDescent="0.3">
      <c r="A62" t="s">
        <v>1</v>
      </c>
      <c r="B62" t="s">
        <v>75</v>
      </c>
      <c r="C62">
        <v>55.932203389830505</v>
      </c>
      <c r="D62">
        <v>55.833333333333336</v>
      </c>
      <c r="E62">
        <v>2</v>
      </c>
      <c r="F62">
        <v>0</v>
      </c>
      <c r="G62">
        <v>66</v>
      </c>
      <c r="H62">
        <v>67</v>
      </c>
      <c r="I62">
        <v>120</v>
      </c>
      <c r="J62">
        <v>120</v>
      </c>
      <c r="K62">
        <v>1.6666666666666667</v>
      </c>
      <c r="L62">
        <v>0</v>
      </c>
      <c r="M62">
        <v>0.31481818181819177</v>
      </c>
      <c r="N62">
        <v>0.31800000000000539</v>
      </c>
      <c r="O62">
        <f>_xlfn.XLOOKUP(S62, AnglePowerMatching!$H:$H, AnglePowerMatching!$C:$C, "NaN")</f>
        <v>16</v>
      </c>
      <c r="P62">
        <f>_xlfn.XLOOKUP(S62, AnglePowerMatching!$H:$H, AnglePowerMatching!$D:$D, "NaN")</f>
        <v>10</v>
      </c>
      <c r="Q62" t="b">
        <f t="shared" si="1"/>
        <v>1</v>
      </c>
      <c r="R62">
        <f>VALUE(_xlfn.TEXTBEFORE(A62, {"L","R"}, , , , A62))</f>
        <v>1031</v>
      </c>
      <c r="S62" t="str">
        <f t="shared" si="0"/>
        <v>103120260205</v>
      </c>
    </row>
    <row r="63" spans="1:19" x14ac:dyDescent="0.3">
      <c r="A63" t="s">
        <v>36</v>
      </c>
      <c r="B63" t="s">
        <v>60</v>
      </c>
      <c r="C63">
        <v>64.077669902912632</v>
      </c>
      <c r="D63">
        <v>57.142857142857139</v>
      </c>
      <c r="E63">
        <v>17</v>
      </c>
      <c r="F63">
        <v>22</v>
      </c>
      <c r="G63">
        <v>66</v>
      </c>
      <c r="H63">
        <v>56</v>
      </c>
      <c r="I63">
        <v>120</v>
      </c>
      <c r="J63">
        <v>120</v>
      </c>
      <c r="K63">
        <v>14.166666666666666</v>
      </c>
      <c r="L63">
        <v>18.333333333333332</v>
      </c>
      <c r="M63">
        <v>0.55377272727272797</v>
      </c>
      <c r="N63">
        <v>0.68228571428570817</v>
      </c>
      <c r="O63">
        <f>_xlfn.XLOOKUP(S63, AnglePowerMatching!$H:$H, AnglePowerMatching!$C:$C, "NaN")</f>
        <v>66</v>
      </c>
      <c r="P63">
        <f>_xlfn.XLOOKUP(S63, AnglePowerMatching!$H:$H, AnglePowerMatching!$D:$D, "NaN")</f>
        <v>3</v>
      </c>
      <c r="Q63" t="b">
        <f t="shared" si="1"/>
        <v>1</v>
      </c>
      <c r="R63">
        <f>VALUE(_xlfn.TEXTBEFORE(A63, {"L","R"}, , , , A63))</f>
        <v>1034</v>
      </c>
      <c r="S63" t="str">
        <f t="shared" si="0"/>
        <v>103420251015</v>
      </c>
    </row>
    <row r="64" spans="1:19" x14ac:dyDescent="0.3">
      <c r="A64" t="s">
        <v>36</v>
      </c>
      <c r="B64" t="s">
        <v>61</v>
      </c>
      <c r="C64">
        <v>77.118644067796609</v>
      </c>
      <c r="D64">
        <v>83.333333333333343</v>
      </c>
      <c r="E64">
        <v>2</v>
      </c>
      <c r="F64">
        <v>6</v>
      </c>
      <c r="G64">
        <v>91</v>
      </c>
      <c r="H64">
        <v>95</v>
      </c>
      <c r="I64">
        <v>120</v>
      </c>
      <c r="J64">
        <v>120</v>
      </c>
      <c r="K64">
        <v>1.6666666666666667</v>
      </c>
      <c r="L64">
        <v>5</v>
      </c>
      <c r="M64">
        <v>0.30271428571428866</v>
      </c>
      <c r="N64">
        <v>0.30140000000000938</v>
      </c>
      <c r="O64">
        <f>_xlfn.XLOOKUP(S64, AnglePowerMatching!$H:$H, AnglePowerMatching!$C:$C, "NaN")</f>
        <v>66</v>
      </c>
      <c r="P64">
        <f>_xlfn.XLOOKUP(S64, AnglePowerMatching!$H:$H, AnglePowerMatching!$D:$D, "NaN")</f>
        <v>5</v>
      </c>
      <c r="Q64" t="b">
        <f t="shared" si="1"/>
        <v>1</v>
      </c>
      <c r="R64">
        <f>VALUE(_xlfn.TEXTBEFORE(A64, {"L","R"}, , , , A64))</f>
        <v>1034</v>
      </c>
      <c r="S64" t="str">
        <f t="shared" si="0"/>
        <v>103420251016</v>
      </c>
    </row>
    <row r="65" spans="1:19" x14ac:dyDescent="0.3">
      <c r="A65" t="s">
        <v>36</v>
      </c>
      <c r="B65" t="s">
        <v>62</v>
      </c>
      <c r="C65">
        <v>75.221238938053091</v>
      </c>
      <c r="D65">
        <v>72.807017543859658</v>
      </c>
      <c r="E65">
        <v>7</v>
      </c>
      <c r="F65">
        <v>6</v>
      </c>
      <c r="G65">
        <v>85</v>
      </c>
      <c r="H65">
        <v>83</v>
      </c>
      <c r="I65">
        <v>120</v>
      </c>
      <c r="J65">
        <v>120</v>
      </c>
      <c r="K65">
        <v>5.833333333333333</v>
      </c>
      <c r="L65">
        <v>5</v>
      </c>
      <c r="M65">
        <v>0.34927058823528928</v>
      </c>
      <c r="N65">
        <v>0.38074698795181738</v>
      </c>
      <c r="O65">
        <f>_xlfn.XLOOKUP(S65, AnglePowerMatching!$H:$H, AnglePowerMatching!$C:$C, "NaN")</f>
        <v>66</v>
      </c>
      <c r="P65">
        <f>_xlfn.XLOOKUP(S65, AnglePowerMatching!$H:$H, AnglePowerMatching!$D:$D, "NaN")</f>
        <v>10</v>
      </c>
      <c r="Q65" t="b">
        <f t="shared" si="1"/>
        <v>1</v>
      </c>
      <c r="R65">
        <f>VALUE(_xlfn.TEXTBEFORE(A65, {"L","R"}, , , , A65))</f>
        <v>1034</v>
      </c>
      <c r="S65" t="str">
        <f t="shared" si="0"/>
        <v>103420251017</v>
      </c>
    </row>
    <row r="66" spans="1:19" x14ac:dyDescent="0.3">
      <c r="A66" t="s">
        <v>36</v>
      </c>
      <c r="B66" t="s">
        <v>63</v>
      </c>
      <c r="C66">
        <v>88.461538461538453</v>
      </c>
      <c r="D66">
        <v>90.825688073394488</v>
      </c>
      <c r="E66">
        <v>16</v>
      </c>
      <c r="F66">
        <v>11</v>
      </c>
      <c r="G66">
        <v>92</v>
      </c>
      <c r="H66">
        <v>99</v>
      </c>
      <c r="I66">
        <v>120</v>
      </c>
      <c r="J66">
        <v>120</v>
      </c>
      <c r="K66">
        <v>13.333333333333334</v>
      </c>
      <c r="L66">
        <v>9.1666666666666661</v>
      </c>
      <c r="M66">
        <v>0.34338043478259928</v>
      </c>
      <c r="N66">
        <v>0.34662626262626289</v>
      </c>
      <c r="O66">
        <f>_xlfn.XLOOKUP(S66, AnglePowerMatching!$H:$H, AnglePowerMatching!$C:$C, "NaN")</f>
        <v>66</v>
      </c>
      <c r="P66">
        <f>_xlfn.XLOOKUP(S66, AnglePowerMatching!$H:$H, AnglePowerMatching!$D:$D, "NaN")</f>
        <v>3</v>
      </c>
      <c r="Q66" t="b">
        <f t="shared" si="1"/>
        <v>1</v>
      </c>
      <c r="R66">
        <f>VALUE(_xlfn.TEXTBEFORE(A66, {"L","R"}, , , , A66))</f>
        <v>1034</v>
      </c>
      <c r="S66" t="str">
        <f t="shared" ref="S66:S129" si="2">R66 &amp; TEXT(B66, "yyyymmdd")</f>
        <v>103420251018</v>
      </c>
    </row>
    <row r="67" spans="1:19" x14ac:dyDescent="0.3">
      <c r="A67" t="s">
        <v>36</v>
      </c>
      <c r="B67" t="s">
        <v>131</v>
      </c>
      <c r="C67">
        <v>69.911504424778755</v>
      </c>
      <c r="D67">
        <v>63.559322033898304</v>
      </c>
      <c r="E67">
        <v>13</v>
      </c>
      <c r="F67">
        <v>8</v>
      </c>
      <c r="G67">
        <v>79</v>
      </c>
      <c r="H67">
        <v>75</v>
      </c>
      <c r="I67">
        <v>126</v>
      </c>
      <c r="J67">
        <v>126</v>
      </c>
      <c r="K67">
        <v>10.317460317460316</v>
      </c>
      <c r="L67">
        <v>6.3492063492063489</v>
      </c>
      <c r="M67">
        <v>0.38740506329114538</v>
      </c>
      <c r="N67">
        <v>0.36110666666667335</v>
      </c>
      <c r="O67" t="str">
        <f>_xlfn.XLOOKUP(S67, AnglePowerMatching!$H:$H, AnglePowerMatching!$C:$C, "NaN")</f>
        <v>NaN</v>
      </c>
      <c r="P67" t="str">
        <f>_xlfn.XLOOKUP(S67, AnglePowerMatching!$H:$H, AnglePowerMatching!$D:$D, "NaN")</f>
        <v>NaN</v>
      </c>
      <c r="Q67" t="b">
        <f t="shared" ref="Q67:Q130" si="3">NOT(OR(C67=0,D67=0))</f>
        <v>1</v>
      </c>
      <c r="R67">
        <f>VALUE(_xlfn.TEXTBEFORE(A67, {"L","R"}, , , , A67))</f>
        <v>1034</v>
      </c>
      <c r="S67" t="str">
        <f t="shared" si="2"/>
        <v>103420251019</v>
      </c>
    </row>
    <row r="68" spans="1:19" x14ac:dyDescent="0.3">
      <c r="A68" t="s">
        <v>36</v>
      </c>
      <c r="B68" t="s">
        <v>76</v>
      </c>
      <c r="C68">
        <v>75</v>
      </c>
      <c r="D68">
        <v>79.090909090909093</v>
      </c>
      <c r="E68">
        <v>9</v>
      </c>
      <c r="F68">
        <v>11</v>
      </c>
      <c r="G68">
        <v>84</v>
      </c>
      <c r="H68">
        <v>87</v>
      </c>
      <c r="I68">
        <v>121</v>
      </c>
      <c r="J68">
        <v>121</v>
      </c>
      <c r="K68">
        <v>7.4380165289256199</v>
      </c>
      <c r="L68">
        <v>9.0909090909090917</v>
      </c>
      <c r="M68">
        <v>0.29964285714285571</v>
      </c>
      <c r="N68">
        <v>0.28114942528734427</v>
      </c>
      <c r="O68">
        <f>_xlfn.XLOOKUP(S68, AnglePowerMatching!$H:$H, AnglePowerMatching!$C:$C, "NaN")</f>
        <v>90</v>
      </c>
      <c r="P68">
        <f>_xlfn.XLOOKUP(S68, AnglePowerMatching!$H:$H, AnglePowerMatching!$D:$D, "NaN")</f>
        <v>3</v>
      </c>
      <c r="Q68" t="b">
        <f t="shared" si="3"/>
        <v>1</v>
      </c>
      <c r="R68">
        <f>VALUE(_xlfn.TEXTBEFORE(A68, {"L","R"}, , , , A68))</f>
        <v>1034</v>
      </c>
      <c r="S68" t="str">
        <f t="shared" si="2"/>
        <v>103420251022</v>
      </c>
    </row>
    <row r="69" spans="1:19" x14ac:dyDescent="0.3">
      <c r="A69" t="s">
        <v>36</v>
      </c>
      <c r="B69" t="s">
        <v>77</v>
      </c>
      <c r="C69">
        <v>71.666666666666671</v>
      </c>
      <c r="D69">
        <v>68.333333333333329</v>
      </c>
      <c r="E69">
        <v>0</v>
      </c>
      <c r="F69">
        <v>0</v>
      </c>
      <c r="G69">
        <v>86</v>
      </c>
      <c r="H69">
        <v>82</v>
      </c>
      <c r="I69">
        <v>120</v>
      </c>
      <c r="J69">
        <v>120</v>
      </c>
      <c r="K69">
        <v>0</v>
      </c>
      <c r="L69">
        <v>0</v>
      </c>
      <c r="M69">
        <v>0.26077906976744386</v>
      </c>
      <c r="N69">
        <v>0.24396341463414412</v>
      </c>
      <c r="O69">
        <f>_xlfn.XLOOKUP(S69, AnglePowerMatching!$H:$H, AnglePowerMatching!$C:$C, "NaN")</f>
        <v>90</v>
      </c>
      <c r="P69">
        <f>_xlfn.XLOOKUP(S69, AnglePowerMatching!$H:$H, AnglePowerMatching!$D:$D, "NaN")</f>
        <v>5</v>
      </c>
      <c r="Q69" t="b">
        <f t="shared" si="3"/>
        <v>1</v>
      </c>
      <c r="R69">
        <f>VALUE(_xlfn.TEXTBEFORE(A69, {"L","R"}, , , , A69))</f>
        <v>1034</v>
      </c>
      <c r="S69" t="str">
        <f t="shared" si="2"/>
        <v>103420251023</v>
      </c>
    </row>
    <row r="70" spans="1:19" x14ac:dyDescent="0.3">
      <c r="A70" t="s">
        <v>36</v>
      </c>
      <c r="B70" t="s">
        <v>78</v>
      </c>
      <c r="C70">
        <v>62.5</v>
      </c>
      <c r="D70">
        <v>65</v>
      </c>
      <c r="E70">
        <v>0</v>
      </c>
      <c r="F70">
        <v>0</v>
      </c>
      <c r="G70">
        <v>75</v>
      </c>
      <c r="H70">
        <v>78</v>
      </c>
      <c r="I70">
        <v>120</v>
      </c>
      <c r="J70">
        <v>120</v>
      </c>
      <c r="K70">
        <v>0</v>
      </c>
      <c r="L70">
        <v>0</v>
      </c>
      <c r="M70">
        <v>0.22311999999998264</v>
      </c>
      <c r="N70">
        <v>0.22269230769230147</v>
      </c>
      <c r="O70">
        <f>_xlfn.XLOOKUP(S70, AnglePowerMatching!$H:$H, AnglePowerMatching!$C:$C, "NaN")</f>
        <v>90</v>
      </c>
      <c r="P70">
        <f>_xlfn.XLOOKUP(S70, AnglePowerMatching!$H:$H, AnglePowerMatching!$D:$D, "NaN")</f>
        <v>10</v>
      </c>
      <c r="Q70" t="b">
        <f t="shared" si="3"/>
        <v>1</v>
      </c>
      <c r="R70">
        <f>VALUE(_xlfn.TEXTBEFORE(A70, {"L","R"}, , , , A70))</f>
        <v>1034</v>
      </c>
      <c r="S70" t="str">
        <f t="shared" si="2"/>
        <v>103420251024</v>
      </c>
    </row>
    <row r="71" spans="1:19" x14ac:dyDescent="0.3">
      <c r="A71" t="s">
        <v>36</v>
      </c>
      <c r="B71" t="s">
        <v>79</v>
      </c>
      <c r="C71">
        <v>72.807017543859658</v>
      </c>
      <c r="D71">
        <v>69.298245614035096</v>
      </c>
      <c r="E71">
        <v>6</v>
      </c>
      <c r="F71">
        <v>6</v>
      </c>
      <c r="G71">
        <v>83</v>
      </c>
      <c r="H71">
        <v>79</v>
      </c>
      <c r="I71">
        <v>120</v>
      </c>
      <c r="J71">
        <v>120</v>
      </c>
      <c r="K71">
        <v>5</v>
      </c>
      <c r="L71">
        <v>5</v>
      </c>
      <c r="M71">
        <v>0.28625301204819481</v>
      </c>
      <c r="N71">
        <v>0.27969620253163718</v>
      </c>
      <c r="O71">
        <f>_xlfn.XLOOKUP(S71, AnglePowerMatching!$H:$H, AnglePowerMatching!$C:$C, "NaN")</f>
        <v>35</v>
      </c>
      <c r="P71">
        <f>_xlfn.XLOOKUP(S71, AnglePowerMatching!$H:$H, AnglePowerMatching!$D:$D, "NaN")</f>
        <v>3</v>
      </c>
      <c r="Q71" t="b">
        <f t="shared" si="3"/>
        <v>1</v>
      </c>
      <c r="R71">
        <f>VALUE(_xlfn.TEXTBEFORE(A71, {"L","R"}, , , , A71))</f>
        <v>1034</v>
      </c>
      <c r="S71" t="str">
        <f t="shared" si="2"/>
        <v>103420251029</v>
      </c>
    </row>
    <row r="72" spans="1:19" x14ac:dyDescent="0.3">
      <c r="A72" t="s">
        <v>36</v>
      </c>
      <c r="B72" t="s">
        <v>80</v>
      </c>
      <c r="C72">
        <v>73.94957983193278</v>
      </c>
      <c r="D72">
        <v>67.5</v>
      </c>
      <c r="E72">
        <v>1</v>
      </c>
      <c r="F72">
        <v>0</v>
      </c>
      <c r="G72">
        <v>88</v>
      </c>
      <c r="H72">
        <v>81</v>
      </c>
      <c r="I72">
        <v>120</v>
      </c>
      <c r="J72">
        <v>120</v>
      </c>
      <c r="K72">
        <v>0.83333333333333337</v>
      </c>
      <c r="L72">
        <v>0</v>
      </c>
      <c r="M72">
        <v>0.22678409090908991</v>
      </c>
      <c r="N72">
        <v>0.22533333333332248</v>
      </c>
      <c r="O72">
        <f>_xlfn.XLOOKUP(S72, AnglePowerMatching!$H:$H, AnglePowerMatching!$C:$C, "NaN")</f>
        <v>35</v>
      </c>
      <c r="P72">
        <f>_xlfn.XLOOKUP(S72, AnglePowerMatching!$H:$H, AnglePowerMatching!$D:$D, "NaN")</f>
        <v>5</v>
      </c>
      <c r="Q72" t="b">
        <f t="shared" si="3"/>
        <v>1</v>
      </c>
      <c r="R72">
        <f>VALUE(_xlfn.TEXTBEFORE(A72, {"L","R"}, , , , A72))</f>
        <v>1034</v>
      </c>
      <c r="S72" t="str">
        <f t="shared" si="2"/>
        <v>103420251030</v>
      </c>
    </row>
    <row r="73" spans="1:19" x14ac:dyDescent="0.3">
      <c r="A73" t="s">
        <v>36</v>
      </c>
      <c r="B73" t="s">
        <v>81</v>
      </c>
      <c r="C73">
        <v>74.576271186440678</v>
      </c>
      <c r="D73">
        <v>80</v>
      </c>
      <c r="E73">
        <v>2</v>
      </c>
      <c r="F73">
        <v>0</v>
      </c>
      <c r="G73">
        <v>88</v>
      </c>
      <c r="H73">
        <v>96</v>
      </c>
      <c r="I73">
        <v>120</v>
      </c>
      <c r="J73">
        <v>120</v>
      </c>
      <c r="K73">
        <v>1.6666666666666667</v>
      </c>
      <c r="L73">
        <v>0</v>
      </c>
      <c r="M73">
        <v>0.29272727272727311</v>
      </c>
      <c r="N73">
        <v>0.27660416666667109</v>
      </c>
      <c r="O73">
        <f>_xlfn.XLOOKUP(S73, AnglePowerMatching!$H:$H, AnglePowerMatching!$C:$C, "NaN")</f>
        <v>35</v>
      </c>
      <c r="P73">
        <f>_xlfn.XLOOKUP(S73, AnglePowerMatching!$H:$H, AnglePowerMatching!$D:$D, "NaN")</f>
        <v>10</v>
      </c>
      <c r="Q73" t="b">
        <f t="shared" si="3"/>
        <v>1</v>
      </c>
      <c r="R73">
        <f>VALUE(_xlfn.TEXTBEFORE(A73, {"L","R"}, , , , A73))</f>
        <v>1034</v>
      </c>
      <c r="S73" t="str">
        <f t="shared" si="2"/>
        <v>103420251101</v>
      </c>
    </row>
    <row r="74" spans="1:19" x14ac:dyDescent="0.3">
      <c r="A74" t="s">
        <v>36</v>
      </c>
      <c r="B74" t="s">
        <v>69</v>
      </c>
      <c r="C74">
        <v>88.034188034188034</v>
      </c>
      <c r="D74">
        <v>94.915254237288138</v>
      </c>
      <c r="E74">
        <v>3</v>
      </c>
      <c r="F74">
        <v>2</v>
      </c>
      <c r="G74">
        <v>103</v>
      </c>
      <c r="H74">
        <v>112</v>
      </c>
      <c r="I74">
        <v>120</v>
      </c>
      <c r="J74">
        <v>120</v>
      </c>
      <c r="K74">
        <v>2.5</v>
      </c>
      <c r="L74">
        <v>1.6666666666666667</v>
      </c>
      <c r="M74">
        <v>0.48069902912620865</v>
      </c>
      <c r="N74">
        <v>0.48172321428571452</v>
      </c>
      <c r="O74" t="str">
        <f>_xlfn.XLOOKUP(S74, AnglePowerMatching!$H:$H, AnglePowerMatching!$C:$C, "NaN")</f>
        <v>NaN</v>
      </c>
      <c r="P74" t="str">
        <f>_xlfn.XLOOKUP(S74, AnglePowerMatching!$H:$H, AnglePowerMatching!$D:$D, "NaN")</f>
        <v>NaN</v>
      </c>
      <c r="Q74" t="b">
        <f t="shared" si="3"/>
        <v>1</v>
      </c>
      <c r="R74">
        <f>VALUE(_xlfn.TEXTBEFORE(A74, {"L","R"}, , , , A74))</f>
        <v>1034</v>
      </c>
      <c r="S74" t="str">
        <f t="shared" si="2"/>
        <v>103420251104</v>
      </c>
    </row>
    <row r="75" spans="1:19" x14ac:dyDescent="0.3">
      <c r="A75" t="s">
        <v>36</v>
      </c>
      <c r="B75" t="s">
        <v>69</v>
      </c>
      <c r="C75">
        <v>93.181818181818173</v>
      </c>
      <c r="D75">
        <v>66.666666666666657</v>
      </c>
      <c r="E75">
        <v>76</v>
      </c>
      <c r="F75">
        <v>84</v>
      </c>
      <c r="G75">
        <v>41</v>
      </c>
      <c r="H75">
        <v>24</v>
      </c>
      <c r="I75">
        <v>120</v>
      </c>
      <c r="J75">
        <v>120</v>
      </c>
      <c r="K75">
        <v>63.333333333333329</v>
      </c>
      <c r="L75">
        <v>70</v>
      </c>
      <c r="M75">
        <v>1.8394390243902334</v>
      </c>
      <c r="N75">
        <v>1.0052916666666956</v>
      </c>
      <c r="O75" t="str">
        <f>_xlfn.XLOOKUP(S75, AnglePowerMatching!$H:$H, AnglePowerMatching!$C:$C, "NaN")</f>
        <v>NaN</v>
      </c>
      <c r="P75" t="str">
        <f>_xlfn.XLOOKUP(S75, AnglePowerMatching!$H:$H, AnglePowerMatching!$D:$D, "NaN")</f>
        <v>NaN</v>
      </c>
      <c r="Q75" t="b">
        <f t="shared" si="3"/>
        <v>1</v>
      </c>
      <c r="R75">
        <f>VALUE(_xlfn.TEXTBEFORE(A75, {"L","R"}, , , , A75))</f>
        <v>1034</v>
      </c>
      <c r="S75" t="str">
        <f t="shared" si="2"/>
        <v>103420251104</v>
      </c>
    </row>
    <row r="76" spans="1:19" x14ac:dyDescent="0.3">
      <c r="A76" t="s">
        <v>36</v>
      </c>
      <c r="B76" t="s">
        <v>82</v>
      </c>
      <c r="C76">
        <v>66.386554621848731</v>
      </c>
      <c r="D76">
        <v>68.907563025210081</v>
      </c>
      <c r="E76">
        <v>1</v>
      </c>
      <c r="F76">
        <v>1</v>
      </c>
      <c r="G76">
        <v>79</v>
      </c>
      <c r="H76">
        <v>82</v>
      </c>
      <c r="I76">
        <v>120</v>
      </c>
      <c r="J76">
        <v>120</v>
      </c>
      <c r="K76">
        <v>0.83333333333333337</v>
      </c>
      <c r="L76">
        <v>0.83333333333333337</v>
      </c>
      <c r="M76">
        <v>0.24649367088608407</v>
      </c>
      <c r="N76">
        <v>0.27870731707317775</v>
      </c>
      <c r="O76">
        <f>_xlfn.XLOOKUP(S76, AnglePowerMatching!$H:$H, AnglePowerMatching!$C:$C, "NaN")</f>
        <v>26</v>
      </c>
      <c r="P76">
        <f>_xlfn.XLOOKUP(S76, AnglePowerMatching!$H:$H, AnglePowerMatching!$D:$D, "NaN")</f>
        <v>3</v>
      </c>
      <c r="Q76" t="b">
        <f t="shared" si="3"/>
        <v>1</v>
      </c>
      <c r="R76">
        <f>VALUE(_xlfn.TEXTBEFORE(A76, {"L","R"}, , , , A76))</f>
        <v>1034</v>
      </c>
      <c r="S76" t="str">
        <f t="shared" si="2"/>
        <v>103420251106</v>
      </c>
    </row>
    <row r="77" spans="1:19" x14ac:dyDescent="0.3">
      <c r="A77" t="s">
        <v>36</v>
      </c>
      <c r="B77" t="s">
        <v>83</v>
      </c>
      <c r="C77">
        <v>60.833333333333329</v>
      </c>
      <c r="D77">
        <v>65.833333333333329</v>
      </c>
      <c r="E77">
        <v>0</v>
      </c>
      <c r="F77">
        <v>0</v>
      </c>
      <c r="G77">
        <v>73</v>
      </c>
      <c r="H77">
        <v>79</v>
      </c>
      <c r="I77">
        <v>120</v>
      </c>
      <c r="J77">
        <v>120</v>
      </c>
      <c r="K77">
        <v>0</v>
      </c>
      <c r="L77">
        <v>0</v>
      </c>
      <c r="M77">
        <v>0.23875342465753724</v>
      </c>
      <c r="N77">
        <v>0.22867088607595965</v>
      </c>
      <c r="O77">
        <f>_xlfn.XLOOKUP(S77, AnglePowerMatching!$H:$H, AnglePowerMatching!$C:$C, "NaN")</f>
        <v>26</v>
      </c>
      <c r="P77">
        <f>_xlfn.XLOOKUP(S77, AnglePowerMatching!$H:$H, AnglePowerMatching!$D:$D, "NaN")</f>
        <v>5</v>
      </c>
      <c r="Q77" t="b">
        <f t="shared" si="3"/>
        <v>1</v>
      </c>
      <c r="R77">
        <f>VALUE(_xlfn.TEXTBEFORE(A77, {"L","R"}, , , , A77))</f>
        <v>1034</v>
      </c>
      <c r="S77" t="str">
        <f t="shared" si="2"/>
        <v>103420251107</v>
      </c>
    </row>
    <row r="78" spans="1:19" x14ac:dyDescent="0.3">
      <c r="A78" t="s">
        <v>36</v>
      </c>
      <c r="B78" t="s">
        <v>84</v>
      </c>
      <c r="C78">
        <v>66.34615384615384</v>
      </c>
      <c r="D78">
        <v>58.415841584158414</v>
      </c>
      <c r="E78">
        <v>16</v>
      </c>
      <c r="F78">
        <v>19</v>
      </c>
      <c r="G78">
        <v>69</v>
      </c>
      <c r="H78">
        <v>59</v>
      </c>
      <c r="I78">
        <v>120</v>
      </c>
      <c r="J78">
        <v>120</v>
      </c>
      <c r="K78">
        <v>13.333333333333334</v>
      </c>
      <c r="L78">
        <v>15.833333333333332</v>
      </c>
      <c r="M78">
        <v>0.33892753623187949</v>
      </c>
      <c r="N78">
        <v>0.31208474576272266</v>
      </c>
      <c r="O78">
        <f>_xlfn.XLOOKUP(S78, AnglePowerMatching!$H:$H, AnglePowerMatching!$C:$C, "NaN")</f>
        <v>26</v>
      </c>
      <c r="P78">
        <f>_xlfn.XLOOKUP(S78, AnglePowerMatching!$H:$H, AnglePowerMatching!$D:$D, "NaN")</f>
        <v>10</v>
      </c>
      <c r="Q78" t="b">
        <f t="shared" si="3"/>
        <v>1</v>
      </c>
      <c r="R78">
        <f>VALUE(_xlfn.TEXTBEFORE(A78, {"L","R"}, , , , A78))</f>
        <v>1034</v>
      </c>
      <c r="S78" t="str">
        <f t="shared" si="2"/>
        <v>103420251108</v>
      </c>
    </row>
    <row r="79" spans="1:19" x14ac:dyDescent="0.3">
      <c r="A79" t="s">
        <v>36</v>
      </c>
      <c r="B79" t="s">
        <v>144</v>
      </c>
      <c r="C79">
        <v>60</v>
      </c>
      <c r="D79">
        <v>60.833333333333329</v>
      </c>
      <c r="E79">
        <v>2</v>
      </c>
      <c r="F79">
        <v>0</v>
      </c>
      <c r="G79">
        <v>72</v>
      </c>
      <c r="H79">
        <v>73</v>
      </c>
      <c r="I79">
        <v>122</v>
      </c>
      <c r="J79">
        <v>120</v>
      </c>
      <c r="K79">
        <v>1.639344262295082</v>
      </c>
      <c r="L79">
        <v>0</v>
      </c>
      <c r="M79">
        <v>0.31681944444444682</v>
      </c>
      <c r="N79">
        <v>0.32584931506849535</v>
      </c>
      <c r="O79">
        <f>_xlfn.XLOOKUP(S79, AnglePowerMatching!$H:$H, AnglePowerMatching!$C:$C, "NaN")</f>
        <v>16</v>
      </c>
      <c r="P79">
        <f>_xlfn.XLOOKUP(S79, AnglePowerMatching!$H:$H, AnglePowerMatching!$D:$D, "NaN")</f>
        <v>3</v>
      </c>
      <c r="Q79" t="b">
        <f t="shared" si="3"/>
        <v>1</v>
      </c>
      <c r="R79">
        <f>VALUE(_xlfn.TEXTBEFORE(A79, {"L","R"}, , , , A79))</f>
        <v>1034</v>
      </c>
      <c r="S79" t="str">
        <f t="shared" si="2"/>
        <v>103420251113</v>
      </c>
    </row>
    <row r="80" spans="1:19" x14ac:dyDescent="0.3">
      <c r="A80" t="s">
        <v>36</v>
      </c>
      <c r="B80" t="s">
        <v>145</v>
      </c>
      <c r="C80">
        <v>62.931034482758619</v>
      </c>
      <c r="D80">
        <v>68.644067796610159</v>
      </c>
      <c r="E80">
        <v>4</v>
      </c>
      <c r="F80">
        <v>2</v>
      </c>
      <c r="G80">
        <v>73</v>
      </c>
      <c r="H80">
        <v>81</v>
      </c>
      <c r="I80">
        <v>120</v>
      </c>
      <c r="J80">
        <v>120</v>
      </c>
      <c r="K80">
        <v>3.3333333333333335</v>
      </c>
      <c r="L80">
        <v>1.6666666666666667</v>
      </c>
      <c r="M80">
        <v>0.31346575342466526</v>
      </c>
      <c r="N80">
        <v>0.31103703703704716</v>
      </c>
      <c r="O80">
        <f>_xlfn.XLOOKUP(S80, AnglePowerMatching!$H:$H, AnglePowerMatching!$C:$C, "NaN")</f>
        <v>16</v>
      </c>
      <c r="P80">
        <f>_xlfn.XLOOKUP(S80, AnglePowerMatching!$H:$H, AnglePowerMatching!$D:$D, "NaN")</f>
        <v>5</v>
      </c>
      <c r="Q80" t="b">
        <f t="shared" si="3"/>
        <v>1</v>
      </c>
      <c r="R80">
        <f>VALUE(_xlfn.TEXTBEFORE(A80, {"L","R"}, , , , A80))</f>
        <v>1034</v>
      </c>
      <c r="S80" t="str">
        <f t="shared" si="2"/>
        <v>103420251114</v>
      </c>
    </row>
    <row r="81" spans="1:19" x14ac:dyDescent="0.3">
      <c r="A81" t="s">
        <v>36</v>
      </c>
      <c r="B81" t="s">
        <v>141</v>
      </c>
      <c r="C81">
        <v>75.423728813559322</v>
      </c>
      <c r="D81">
        <v>77.58620689655173</v>
      </c>
      <c r="E81">
        <v>2</v>
      </c>
      <c r="F81">
        <v>4</v>
      </c>
      <c r="G81">
        <v>89</v>
      </c>
      <c r="H81">
        <v>90</v>
      </c>
      <c r="I81">
        <v>120</v>
      </c>
      <c r="J81">
        <v>120</v>
      </c>
      <c r="K81">
        <v>1.6666666666666667</v>
      </c>
      <c r="L81">
        <v>3.3333333333333335</v>
      </c>
      <c r="M81">
        <v>0.44644943820224603</v>
      </c>
      <c r="N81">
        <v>0.43214444444444222</v>
      </c>
      <c r="O81">
        <f>_xlfn.XLOOKUP(S81, AnglePowerMatching!$H:$H, AnglePowerMatching!$C:$C, "NaN")</f>
        <v>16</v>
      </c>
      <c r="P81">
        <f>_xlfn.XLOOKUP(S81, AnglePowerMatching!$H:$H, AnglePowerMatching!$D:$D, "NaN")</f>
        <v>3</v>
      </c>
      <c r="Q81" t="b">
        <f t="shared" si="3"/>
        <v>1</v>
      </c>
      <c r="R81">
        <f>VALUE(_xlfn.TEXTBEFORE(A81, {"L","R"}, , , , A81))</f>
        <v>1034</v>
      </c>
      <c r="S81" t="str">
        <f t="shared" si="2"/>
        <v>103420251117</v>
      </c>
    </row>
    <row r="82" spans="1:19" x14ac:dyDescent="0.3">
      <c r="A82" t="s">
        <v>36</v>
      </c>
      <c r="B82" t="s">
        <v>142</v>
      </c>
      <c r="C82">
        <v>84.87394957983193</v>
      </c>
      <c r="D82">
        <v>81.034482758620683</v>
      </c>
      <c r="E82">
        <v>1</v>
      </c>
      <c r="F82">
        <v>4</v>
      </c>
      <c r="G82">
        <v>101</v>
      </c>
      <c r="H82">
        <v>94</v>
      </c>
      <c r="I82">
        <v>120</v>
      </c>
      <c r="J82">
        <v>120</v>
      </c>
      <c r="K82">
        <v>0.83333333333333337</v>
      </c>
      <c r="L82">
        <v>3.3333333333333335</v>
      </c>
      <c r="M82">
        <v>0.42664356435643136</v>
      </c>
      <c r="N82">
        <v>0.41534042553192724</v>
      </c>
      <c r="O82">
        <f>_xlfn.XLOOKUP(S82, AnglePowerMatching!$H:$H, AnglePowerMatching!$C:$C, "NaN")</f>
        <v>16</v>
      </c>
      <c r="P82">
        <f>_xlfn.XLOOKUP(S82, AnglePowerMatching!$H:$H, AnglePowerMatching!$D:$D, "NaN")</f>
        <v>5</v>
      </c>
      <c r="Q82" t="b">
        <f t="shared" si="3"/>
        <v>1</v>
      </c>
      <c r="R82">
        <f>VALUE(_xlfn.TEXTBEFORE(A82, {"L","R"}, , , , A82))</f>
        <v>1034</v>
      </c>
      <c r="S82" t="str">
        <f t="shared" si="2"/>
        <v>103420251118</v>
      </c>
    </row>
    <row r="83" spans="1:19" x14ac:dyDescent="0.3">
      <c r="A83" t="s">
        <v>36</v>
      </c>
      <c r="B83" t="s">
        <v>143</v>
      </c>
      <c r="C83">
        <v>70.588235294117652</v>
      </c>
      <c r="D83">
        <v>70.085470085470078</v>
      </c>
      <c r="E83">
        <v>1</v>
      </c>
      <c r="F83">
        <v>3</v>
      </c>
      <c r="G83">
        <v>84</v>
      </c>
      <c r="H83">
        <v>82</v>
      </c>
      <c r="I83">
        <v>120</v>
      </c>
      <c r="J83">
        <v>120</v>
      </c>
      <c r="K83">
        <v>0.83333333333333337</v>
      </c>
      <c r="L83">
        <v>2.5</v>
      </c>
      <c r="M83">
        <v>0.32036904761904833</v>
      </c>
      <c r="N83">
        <v>0.34531707317073568</v>
      </c>
      <c r="O83">
        <f>_xlfn.XLOOKUP(S83, AnglePowerMatching!$H:$H, AnglePowerMatching!$C:$C, "NaN")</f>
        <v>16</v>
      </c>
      <c r="P83">
        <f>_xlfn.XLOOKUP(S83, AnglePowerMatching!$H:$H, AnglePowerMatching!$D:$D, "NaN")</f>
        <v>10</v>
      </c>
      <c r="Q83" t="b">
        <f t="shared" si="3"/>
        <v>1</v>
      </c>
      <c r="R83">
        <f>VALUE(_xlfn.TEXTBEFORE(A83, {"L","R"}, , , , A83))</f>
        <v>1034</v>
      </c>
      <c r="S83" t="str">
        <f t="shared" si="2"/>
        <v>103420251119</v>
      </c>
    </row>
    <row r="84" spans="1:19" x14ac:dyDescent="0.3">
      <c r="A84" t="s">
        <v>36</v>
      </c>
      <c r="B84" t="s">
        <v>45</v>
      </c>
      <c r="C84">
        <v>49.193548387096776</v>
      </c>
      <c r="D84">
        <v>51.639344262295083</v>
      </c>
      <c r="E84">
        <v>0</v>
      </c>
      <c r="F84">
        <v>1</v>
      </c>
      <c r="G84">
        <v>61</v>
      </c>
      <c r="H84">
        <v>63</v>
      </c>
      <c r="I84">
        <v>124</v>
      </c>
      <c r="J84">
        <v>123</v>
      </c>
      <c r="K84">
        <v>0</v>
      </c>
      <c r="L84">
        <v>0.81300813008130091</v>
      </c>
      <c r="M84">
        <v>0.19740983606556808</v>
      </c>
      <c r="N84">
        <v>0.18620634920635371</v>
      </c>
      <c r="O84">
        <f>_xlfn.XLOOKUP(S84, AnglePowerMatching!$H:$H, AnglePowerMatching!$C:$C, "NaN")</f>
        <v>66</v>
      </c>
      <c r="P84" t="str">
        <f>_xlfn.XLOOKUP(S84, AnglePowerMatching!$H:$H, AnglePowerMatching!$D:$D, "NaN")</f>
        <v>3 masker</v>
      </c>
      <c r="Q84" t="b">
        <f t="shared" si="3"/>
        <v>1</v>
      </c>
      <c r="R84">
        <f>VALUE(_xlfn.TEXTBEFORE(A84, {"L","R"}, , , , A84))</f>
        <v>1034</v>
      </c>
      <c r="S84" t="str">
        <f t="shared" si="2"/>
        <v>103420251215</v>
      </c>
    </row>
    <row r="85" spans="1:19" x14ac:dyDescent="0.3">
      <c r="A85" t="s">
        <v>36</v>
      </c>
      <c r="B85" t="s">
        <v>46</v>
      </c>
      <c r="C85">
        <v>0</v>
      </c>
      <c r="E85">
        <v>119</v>
      </c>
      <c r="F85">
        <v>120</v>
      </c>
      <c r="G85">
        <v>0</v>
      </c>
      <c r="H85">
        <v>0</v>
      </c>
      <c r="I85">
        <v>120</v>
      </c>
      <c r="J85">
        <v>120</v>
      </c>
      <c r="K85">
        <v>99.166666666666671</v>
      </c>
      <c r="L85">
        <v>100</v>
      </c>
      <c r="O85" t="str">
        <f>_xlfn.XLOOKUP(S85, AnglePowerMatching!$H:$H, AnglePowerMatching!$C:$C, "NaN")</f>
        <v>NaN</v>
      </c>
      <c r="P85" t="str">
        <f>_xlfn.XLOOKUP(S85, AnglePowerMatching!$H:$H, AnglePowerMatching!$D:$D, "NaN")</f>
        <v>NaN</v>
      </c>
      <c r="Q85" t="b">
        <f t="shared" si="3"/>
        <v>0</v>
      </c>
      <c r="R85">
        <f>VALUE(_xlfn.TEXTBEFORE(A85, {"L","R"}, , , , A85))</f>
        <v>1034</v>
      </c>
      <c r="S85" t="str">
        <f t="shared" si="2"/>
        <v>103420251216</v>
      </c>
    </row>
    <row r="86" spans="1:19" x14ac:dyDescent="0.3">
      <c r="A86" t="s">
        <v>36</v>
      </c>
      <c r="B86" t="s">
        <v>47</v>
      </c>
      <c r="C86">
        <v>59.663865546218489</v>
      </c>
      <c r="D86">
        <v>62.5</v>
      </c>
      <c r="E86">
        <v>1</v>
      </c>
      <c r="F86">
        <v>0</v>
      </c>
      <c r="G86">
        <v>71</v>
      </c>
      <c r="H86">
        <v>75</v>
      </c>
      <c r="I86">
        <v>120</v>
      </c>
      <c r="J86">
        <v>120</v>
      </c>
      <c r="K86">
        <v>0.83333333333333337</v>
      </c>
      <c r="L86">
        <v>0</v>
      </c>
      <c r="M86">
        <v>0.22409859154928605</v>
      </c>
      <c r="N86">
        <v>0.24790666666668451</v>
      </c>
      <c r="O86">
        <f>_xlfn.XLOOKUP(S86, AnglePowerMatching!$H:$H, AnglePowerMatching!$C:$C, "NaN")</f>
        <v>66</v>
      </c>
      <c r="P86">
        <f>_xlfn.XLOOKUP(S86, AnglePowerMatching!$H:$H, AnglePowerMatching!$D:$D, "NaN")</f>
        <v>10</v>
      </c>
      <c r="Q86" t="b">
        <f t="shared" si="3"/>
        <v>1</v>
      </c>
      <c r="R86">
        <f>VALUE(_xlfn.TEXTBEFORE(A86, {"L","R"}, , , , A86))</f>
        <v>1034</v>
      </c>
      <c r="S86" t="str">
        <f t="shared" si="2"/>
        <v>103420251217</v>
      </c>
    </row>
    <row r="87" spans="1:19" x14ac:dyDescent="0.3">
      <c r="A87" t="s">
        <v>36</v>
      </c>
      <c r="B87" t="s">
        <v>48</v>
      </c>
      <c r="C87">
        <v>58.333333333333336</v>
      </c>
      <c r="D87">
        <v>56.666666666666664</v>
      </c>
      <c r="E87">
        <v>0</v>
      </c>
      <c r="F87">
        <v>0</v>
      </c>
      <c r="G87">
        <v>70</v>
      </c>
      <c r="H87">
        <v>68</v>
      </c>
      <c r="I87">
        <v>120</v>
      </c>
      <c r="J87">
        <v>120</v>
      </c>
      <c r="K87">
        <v>0</v>
      </c>
      <c r="L87">
        <v>0</v>
      </c>
      <c r="M87">
        <v>0.19927142857142843</v>
      </c>
      <c r="N87">
        <v>0.18492647058823472</v>
      </c>
      <c r="O87">
        <f>_xlfn.XLOOKUP(S87, AnglePowerMatching!$H:$H, AnglePowerMatching!$C:$C, "NaN")</f>
        <v>66</v>
      </c>
      <c r="P87">
        <f>_xlfn.XLOOKUP(S87, AnglePowerMatching!$H:$H, AnglePowerMatching!$D:$D, "NaN")</f>
        <v>3</v>
      </c>
      <c r="Q87" t="b">
        <f t="shared" si="3"/>
        <v>1</v>
      </c>
      <c r="R87">
        <f>VALUE(_xlfn.TEXTBEFORE(A87, {"L","R"}, , , , A87))</f>
        <v>1034</v>
      </c>
      <c r="S87" t="str">
        <f t="shared" si="2"/>
        <v>103420251218</v>
      </c>
    </row>
    <row r="88" spans="1:19" x14ac:dyDescent="0.3">
      <c r="A88" t="s">
        <v>36</v>
      </c>
      <c r="B88" t="s">
        <v>50</v>
      </c>
      <c r="C88">
        <v>52.205882352941181</v>
      </c>
      <c r="D88">
        <v>50.735294117647058</v>
      </c>
      <c r="E88">
        <v>0</v>
      </c>
      <c r="F88">
        <v>0</v>
      </c>
      <c r="G88">
        <v>71</v>
      </c>
      <c r="H88">
        <v>69</v>
      </c>
      <c r="I88">
        <v>136</v>
      </c>
      <c r="J88">
        <v>136</v>
      </c>
      <c r="K88">
        <v>0</v>
      </c>
      <c r="L88">
        <v>0</v>
      </c>
      <c r="M88">
        <v>0.20602816901407164</v>
      </c>
      <c r="N88">
        <v>0.19060869565217126</v>
      </c>
      <c r="O88">
        <f>_xlfn.XLOOKUP(S88, AnglePowerMatching!$H:$H, AnglePowerMatching!$C:$C, "NaN")</f>
        <v>66</v>
      </c>
      <c r="P88" t="str">
        <f>_xlfn.XLOOKUP(S88, AnglePowerMatching!$H:$H, AnglePowerMatching!$D:$D, "NaN")</f>
        <v>5 masker</v>
      </c>
      <c r="Q88" t="b">
        <f t="shared" si="3"/>
        <v>1</v>
      </c>
      <c r="R88">
        <f>VALUE(_xlfn.TEXTBEFORE(A88, {"L","R"}, , , , A88))</f>
        <v>1034</v>
      </c>
      <c r="S88" t="str">
        <f t="shared" si="2"/>
        <v>103420251231</v>
      </c>
    </row>
    <row r="89" spans="1:19" x14ac:dyDescent="0.3">
      <c r="A89" t="s">
        <v>36</v>
      </c>
      <c r="B89" t="s">
        <v>85</v>
      </c>
      <c r="C89">
        <v>61.666666666666671</v>
      </c>
      <c r="D89">
        <v>61.016949152542374</v>
      </c>
      <c r="E89">
        <v>0</v>
      </c>
      <c r="F89">
        <v>2</v>
      </c>
      <c r="G89">
        <v>74</v>
      </c>
      <c r="H89">
        <v>72</v>
      </c>
      <c r="I89">
        <v>120</v>
      </c>
      <c r="J89">
        <v>120</v>
      </c>
      <c r="K89">
        <v>0</v>
      </c>
      <c r="L89">
        <v>1.6666666666666667</v>
      </c>
      <c r="M89">
        <v>0.28716216216215723</v>
      </c>
      <c r="N89">
        <v>0.28869444444444775</v>
      </c>
      <c r="O89">
        <f>_xlfn.XLOOKUP(S89, AnglePowerMatching!$H:$H, AnglePowerMatching!$C:$C, "NaN")</f>
        <v>66</v>
      </c>
      <c r="P89" t="str">
        <f>_xlfn.XLOOKUP(S89, AnglePowerMatching!$H:$H, AnglePowerMatching!$D:$D, "NaN")</f>
        <v>3 masker</v>
      </c>
      <c r="Q89" t="b">
        <f t="shared" si="3"/>
        <v>1</v>
      </c>
      <c r="R89">
        <f>VALUE(_xlfn.TEXTBEFORE(A89, {"L","R"}, , , , A89))</f>
        <v>1034</v>
      </c>
      <c r="S89" t="str">
        <f t="shared" si="2"/>
        <v>103420260113</v>
      </c>
    </row>
    <row r="90" spans="1:19" x14ac:dyDescent="0.3">
      <c r="A90" t="s">
        <v>36</v>
      </c>
      <c r="B90" t="s">
        <v>86</v>
      </c>
      <c r="C90">
        <v>49.586776859504134</v>
      </c>
      <c r="D90">
        <v>59.166666666666664</v>
      </c>
      <c r="E90">
        <v>0</v>
      </c>
      <c r="F90">
        <v>0</v>
      </c>
      <c r="G90">
        <v>60</v>
      </c>
      <c r="H90">
        <v>71</v>
      </c>
      <c r="I90">
        <v>121</v>
      </c>
      <c r="J90">
        <v>120</v>
      </c>
      <c r="K90">
        <v>0</v>
      </c>
      <c r="L90">
        <v>0</v>
      </c>
      <c r="M90">
        <v>0.19216666666668319</v>
      </c>
      <c r="N90">
        <v>0.21511267605632375</v>
      </c>
      <c r="O90">
        <f>_xlfn.XLOOKUP(S90, AnglePowerMatching!$H:$H, AnglePowerMatching!$C:$C, "NaN")</f>
        <v>66</v>
      </c>
      <c r="P90" t="str">
        <f>_xlfn.XLOOKUP(S90, AnglePowerMatching!$H:$H, AnglePowerMatching!$D:$D, "NaN")</f>
        <v>5 masker</v>
      </c>
      <c r="Q90" t="b">
        <f t="shared" si="3"/>
        <v>1</v>
      </c>
      <c r="R90">
        <f>VALUE(_xlfn.TEXTBEFORE(A90, {"L","R"}, , , , A90))</f>
        <v>1034</v>
      </c>
      <c r="S90" t="str">
        <f t="shared" si="2"/>
        <v>103420260114</v>
      </c>
    </row>
    <row r="91" spans="1:19" x14ac:dyDescent="0.3">
      <c r="A91" t="s">
        <v>37</v>
      </c>
      <c r="B91" t="s">
        <v>87</v>
      </c>
      <c r="C91">
        <v>76.470588235294116</v>
      </c>
      <c r="D91">
        <v>65.833333333333329</v>
      </c>
      <c r="E91">
        <v>1</v>
      </c>
      <c r="F91">
        <v>0</v>
      </c>
      <c r="G91">
        <v>91</v>
      </c>
      <c r="H91">
        <v>79</v>
      </c>
      <c r="I91">
        <v>120</v>
      </c>
      <c r="J91">
        <v>120</v>
      </c>
      <c r="K91">
        <v>0.83333333333333337</v>
      </c>
      <c r="L91">
        <v>0</v>
      </c>
      <c r="M91">
        <v>0.2632967032967084</v>
      </c>
      <c r="N91">
        <v>0.24758227848100697</v>
      </c>
      <c r="O91" t="str">
        <f>_xlfn.XLOOKUP(S91, AnglePowerMatching!$H:$H, AnglePowerMatching!$C:$C, "NaN")</f>
        <v>NaN</v>
      </c>
      <c r="P91" t="str">
        <f>_xlfn.XLOOKUP(S91, AnglePowerMatching!$H:$H, AnglePowerMatching!$D:$D, "NaN")</f>
        <v>NaN</v>
      </c>
      <c r="Q91" t="b">
        <f t="shared" si="3"/>
        <v>1</v>
      </c>
      <c r="R91">
        <f>VALUE(_xlfn.TEXTBEFORE(A91, {"L","R"}, , , , A91))</f>
        <v>9450</v>
      </c>
      <c r="S91" t="str">
        <f t="shared" si="2"/>
        <v>945020250818</v>
      </c>
    </row>
    <row r="92" spans="1:19" x14ac:dyDescent="0.3">
      <c r="A92" t="s">
        <v>28</v>
      </c>
      <c r="B92" t="s">
        <v>88</v>
      </c>
      <c r="D92">
        <v>0</v>
      </c>
      <c r="E92">
        <v>0</v>
      </c>
      <c r="F92">
        <v>5</v>
      </c>
      <c r="G92">
        <v>0</v>
      </c>
      <c r="H92">
        <v>0</v>
      </c>
      <c r="I92">
        <v>0</v>
      </c>
      <c r="J92">
        <v>6</v>
      </c>
      <c r="K92">
        <v>0</v>
      </c>
      <c r="L92">
        <v>83.333333333333343</v>
      </c>
      <c r="O92" t="str">
        <f>_xlfn.XLOOKUP(S92, AnglePowerMatching!$H:$H, AnglePowerMatching!$C:$C, "NaN")</f>
        <v>NaN</v>
      </c>
      <c r="P92" t="str">
        <f>_xlfn.XLOOKUP(S92, AnglePowerMatching!$H:$H, AnglePowerMatching!$D:$D, "NaN")</f>
        <v>NaN</v>
      </c>
      <c r="Q92" t="b">
        <f t="shared" si="3"/>
        <v>0</v>
      </c>
      <c r="R92">
        <f>VALUE(_xlfn.TEXTBEFORE(A92, {"L","R"}, , , , A92))</f>
        <v>948</v>
      </c>
      <c r="S92" t="str">
        <f t="shared" si="2"/>
        <v>94820250724</v>
      </c>
    </row>
    <row r="93" spans="1:19" x14ac:dyDescent="0.3">
      <c r="A93" t="s">
        <v>28</v>
      </c>
      <c r="B93" t="s">
        <v>88</v>
      </c>
      <c r="D93">
        <v>0</v>
      </c>
      <c r="E93">
        <v>0</v>
      </c>
      <c r="F93">
        <v>5</v>
      </c>
      <c r="G93">
        <v>0</v>
      </c>
      <c r="H93">
        <v>0</v>
      </c>
      <c r="I93">
        <v>0</v>
      </c>
      <c r="J93">
        <v>6</v>
      </c>
      <c r="K93">
        <v>0</v>
      </c>
      <c r="L93">
        <v>83.333333333333343</v>
      </c>
      <c r="O93" t="str">
        <f>_xlfn.XLOOKUP(S93, AnglePowerMatching!$H:$H, AnglePowerMatching!$C:$C, "NaN")</f>
        <v>NaN</v>
      </c>
      <c r="P93" t="str">
        <f>_xlfn.XLOOKUP(S93, AnglePowerMatching!$H:$H, AnglePowerMatching!$D:$D, "NaN")</f>
        <v>NaN</v>
      </c>
      <c r="Q93" t="b">
        <f t="shared" si="3"/>
        <v>0</v>
      </c>
      <c r="R93">
        <f>VALUE(_xlfn.TEXTBEFORE(A93, {"L","R"}, , , , A93))</f>
        <v>948</v>
      </c>
      <c r="S93" t="str">
        <f t="shared" si="2"/>
        <v>94820250724</v>
      </c>
    </row>
    <row r="94" spans="1:19" x14ac:dyDescent="0.3">
      <c r="A94" t="s">
        <v>28</v>
      </c>
      <c r="B94" t="s">
        <v>88</v>
      </c>
      <c r="D94">
        <v>42.857142857142854</v>
      </c>
      <c r="E94">
        <v>0</v>
      </c>
      <c r="F94">
        <v>1</v>
      </c>
      <c r="G94">
        <v>0</v>
      </c>
      <c r="H94">
        <v>6</v>
      </c>
      <c r="I94">
        <v>0</v>
      </c>
      <c r="J94">
        <v>15</v>
      </c>
      <c r="K94">
        <v>0</v>
      </c>
      <c r="L94">
        <v>6.666666666666667</v>
      </c>
      <c r="N94">
        <v>0.53583333333333327</v>
      </c>
      <c r="O94" t="str">
        <f>_xlfn.XLOOKUP(S94, AnglePowerMatching!$H:$H, AnglePowerMatching!$C:$C, "NaN")</f>
        <v>NaN</v>
      </c>
      <c r="P94" t="str">
        <f>_xlfn.XLOOKUP(S94, AnglePowerMatching!$H:$H, AnglePowerMatching!$D:$D, "NaN")</f>
        <v>NaN</v>
      </c>
      <c r="Q94" t="b">
        <f t="shared" si="3"/>
        <v>0</v>
      </c>
      <c r="R94">
        <f>VALUE(_xlfn.TEXTBEFORE(A94, {"L","R"}, , , , A94))</f>
        <v>948</v>
      </c>
      <c r="S94" t="str">
        <f t="shared" si="2"/>
        <v>94820250724</v>
      </c>
    </row>
    <row r="95" spans="1:19" x14ac:dyDescent="0.3">
      <c r="A95" t="s">
        <v>28</v>
      </c>
      <c r="B95" t="s">
        <v>89</v>
      </c>
      <c r="C95">
        <v>0</v>
      </c>
      <c r="D95">
        <v>100</v>
      </c>
      <c r="E95">
        <v>0</v>
      </c>
      <c r="F95">
        <v>0</v>
      </c>
      <c r="G95">
        <v>0</v>
      </c>
      <c r="H95">
        <v>2</v>
      </c>
      <c r="I95">
        <v>1</v>
      </c>
      <c r="J95">
        <v>2</v>
      </c>
      <c r="K95">
        <v>0</v>
      </c>
      <c r="L95">
        <v>0</v>
      </c>
      <c r="N95">
        <v>0.49599999999999966</v>
      </c>
      <c r="O95">
        <f>_xlfn.XLOOKUP(S95, AnglePowerMatching!$H:$H, AnglePowerMatching!$C:$C, "NaN")</f>
        <v>66</v>
      </c>
      <c r="P95">
        <f>_xlfn.XLOOKUP(S95, AnglePowerMatching!$H:$H, AnglePowerMatching!$D:$D, "NaN")</f>
        <v>3</v>
      </c>
      <c r="Q95" t="b">
        <f t="shared" si="3"/>
        <v>0</v>
      </c>
      <c r="R95">
        <f>VALUE(_xlfn.TEXTBEFORE(A95, {"L","R"}, , , , A95))</f>
        <v>948</v>
      </c>
      <c r="S95" t="str">
        <f t="shared" si="2"/>
        <v>94820250725</v>
      </c>
    </row>
    <row r="96" spans="1:19" x14ac:dyDescent="0.3">
      <c r="A96" t="s">
        <v>28</v>
      </c>
      <c r="B96" t="s">
        <v>89</v>
      </c>
      <c r="C96">
        <v>88.372093023255815</v>
      </c>
      <c r="D96">
        <v>90.217391304347828</v>
      </c>
      <c r="E96">
        <v>8</v>
      </c>
      <c r="F96">
        <v>2</v>
      </c>
      <c r="G96">
        <v>76</v>
      </c>
      <c r="H96">
        <v>83</v>
      </c>
      <c r="I96">
        <v>94</v>
      </c>
      <c r="J96">
        <v>94</v>
      </c>
      <c r="K96">
        <v>8.5106382978723403</v>
      </c>
      <c r="L96">
        <v>2.1276595744680851</v>
      </c>
      <c r="M96">
        <v>0.43493421052630354</v>
      </c>
      <c r="N96">
        <v>0.4044337349397551</v>
      </c>
      <c r="O96">
        <f>_xlfn.XLOOKUP(S96, AnglePowerMatching!$H:$H, AnglePowerMatching!$C:$C, "NaN")</f>
        <v>66</v>
      </c>
      <c r="P96">
        <f>_xlfn.XLOOKUP(S96, AnglePowerMatching!$H:$H, AnglePowerMatching!$D:$D, "NaN")</f>
        <v>3</v>
      </c>
      <c r="Q96" t="b">
        <f t="shared" si="3"/>
        <v>1</v>
      </c>
      <c r="R96">
        <f>VALUE(_xlfn.TEXTBEFORE(A96, {"L","R"}, , , , A96))</f>
        <v>948</v>
      </c>
      <c r="S96" t="str">
        <f t="shared" si="2"/>
        <v>94820250725</v>
      </c>
    </row>
    <row r="97" spans="1:19" x14ac:dyDescent="0.3">
      <c r="A97" t="s">
        <v>28</v>
      </c>
      <c r="B97" t="s">
        <v>90</v>
      </c>
      <c r="C97">
        <v>91.304347826086953</v>
      </c>
      <c r="D97">
        <v>86.486486486486484</v>
      </c>
      <c r="E97">
        <v>9</v>
      </c>
      <c r="F97">
        <v>14</v>
      </c>
      <c r="G97">
        <v>105</v>
      </c>
      <c r="H97">
        <v>96</v>
      </c>
      <c r="I97">
        <v>124</v>
      </c>
      <c r="J97">
        <v>125</v>
      </c>
      <c r="K97">
        <v>7.2580645161290329</v>
      </c>
      <c r="L97">
        <v>11.200000000000001</v>
      </c>
      <c r="M97">
        <v>0.37724761904762261</v>
      </c>
      <c r="N97">
        <v>0.4607499999999955</v>
      </c>
      <c r="O97" t="str">
        <f>_xlfn.XLOOKUP(S97, AnglePowerMatching!$H:$H, AnglePowerMatching!$C:$C, "NaN")</f>
        <v>NaN</v>
      </c>
      <c r="P97" t="str">
        <f>_xlfn.XLOOKUP(S97, AnglePowerMatching!$H:$H, AnglePowerMatching!$D:$D, "NaN")</f>
        <v>NaN</v>
      </c>
      <c r="Q97" t="b">
        <f t="shared" si="3"/>
        <v>1</v>
      </c>
      <c r="R97">
        <f>VALUE(_xlfn.TEXTBEFORE(A97, {"L","R"}, , , , A97))</f>
        <v>948</v>
      </c>
      <c r="S97" t="str">
        <f t="shared" si="2"/>
        <v>94820250726</v>
      </c>
    </row>
    <row r="98" spans="1:19" x14ac:dyDescent="0.3">
      <c r="A98" t="s">
        <v>28</v>
      </c>
      <c r="B98" t="s">
        <v>91</v>
      </c>
      <c r="C98">
        <v>50</v>
      </c>
      <c r="D98">
        <v>50</v>
      </c>
      <c r="E98">
        <v>0</v>
      </c>
      <c r="F98">
        <v>0</v>
      </c>
      <c r="G98">
        <v>2</v>
      </c>
      <c r="H98">
        <v>2</v>
      </c>
      <c r="I98">
        <v>4</v>
      </c>
      <c r="J98">
        <v>4</v>
      </c>
      <c r="K98">
        <v>0</v>
      </c>
      <c r="L98">
        <v>0</v>
      </c>
      <c r="M98">
        <v>0.18800000000000061</v>
      </c>
      <c r="N98">
        <v>0.38699999999999884</v>
      </c>
      <c r="O98">
        <f>_xlfn.XLOOKUP(S98, AnglePowerMatching!$H:$H, AnglePowerMatching!$C:$C, "NaN")</f>
        <v>66</v>
      </c>
      <c r="P98">
        <f>_xlfn.XLOOKUP(S98, AnglePowerMatching!$H:$H, AnglePowerMatching!$D:$D, "NaN")</f>
        <v>5</v>
      </c>
      <c r="Q98" t="b">
        <f t="shared" si="3"/>
        <v>1</v>
      </c>
      <c r="R98">
        <f>VALUE(_xlfn.TEXTBEFORE(A98, {"L","R"}, , , , A98))</f>
        <v>948</v>
      </c>
      <c r="S98" t="str">
        <f t="shared" si="2"/>
        <v>94820250727</v>
      </c>
    </row>
    <row r="99" spans="1:19" x14ac:dyDescent="0.3">
      <c r="A99" t="s">
        <v>28</v>
      </c>
      <c r="B99" t="s">
        <v>91</v>
      </c>
      <c r="C99">
        <v>87.826086956521749</v>
      </c>
      <c r="D99">
        <v>89.565217391304358</v>
      </c>
      <c r="E99">
        <v>0</v>
      </c>
      <c r="F99">
        <v>0</v>
      </c>
      <c r="G99">
        <v>101</v>
      </c>
      <c r="H99">
        <v>103</v>
      </c>
      <c r="I99">
        <v>115</v>
      </c>
      <c r="J99">
        <v>115</v>
      </c>
      <c r="K99">
        <v>0</v>
      </c>
      <c r="L99">
        <v>0</v>
      </c>
      <c r="M99">
        <v>0.28676237623762996</v>
      </c>
      <c r="N99">
        <v>0.28343689320388421</v>
      </c>
      <c r="O99">
        <f>_xlfn.XLOOKUP(S99, AnglePowerMatching!$H:$H, AnglePowerMatching!$C:$C, "NaN")</f>
        <v>66</v>
      </c>
      <c r="P99">
        <f>_xlfn.XLOOKUP(S99, AnglePowerMatching!$H:$H, AnglePowerMatching!$D:$D, "NaN")</f>
        <v>5</v>
      </c>
      <c r="Q99" t="b">
        <f t="shared" si="3"/>
        <v>1</v>
      </c>
      <c r="R99">
        <f>VALUE(_xlfn.TEXTBEFORE(A99, {"L","R"}, , , , A99))</f>
        <v>948</v>
      </c>
      <c r="S99" t="str">
        <f t="shared" si="2"/>
        <v>94820250727</v>
      </c>
    </row>
    <row r="100" spans="1:19" x14ac:dyDescent="0.3">
      <c r="A100" t="s">
        <v>28</v>
      </c>
      <c r="B100" t="s">
        <v>92</v>
      </c>
      <c r="C100">
        <v>100</v>
      </c>
      <c r="D100">
        <v>50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0</v>
      </c>
      <c r="L100">
        <v>0</v>
      </c>
      <c r="M100">
        <v>0.47599999999999909</v>
      </c>
      <c r="N100">
        <v>0.38300000000000001</v>
      </c>
      <c r="O100">
        <f>_xlfn.XLOOKUP(S100, AnglePowerMatching!$H:$H, AnglePowerMatching!$C:$C, "NaN")</f>
        <v>66</v>
      </c>
      <c r="P100">
        <f>_xlfn.XLOOKUP(S100, AnglePowerMatching!$H:$H, AnglePowerMatching!$D:$D, "NaN")</f>
        <v>10</v>
      </c>
      <c r="Q100" t="b">
        <f t="shared" si="3"/>
        <v>1</v>
      </c>
      <c r="R100">
        <f>VALUE(_xlfn.TEXTBEFORE(A100, {"L","R"}, , , , A100))</f>
        <v>948</v>
      </c>
      <c r="S100" t="str">
        <f t="shared" si="2"/>
        <v>94820250728</v>
      </c>
    </row>
    <row r="101" spans="1:19" x14ac:dyDescent="0.3">
      <c r="A101" t="s">
        <v>28</v>
      </c>
      <c r="B101" t="s">
        <v>92</v>
      </c>
      <c r="C101">
        <v>100</v>
      </c>
      <c r="D101">
        <v>100</v>
      </c>
      <c r="E101">
        <v>0</v>
      </c>
      <c r="F101">
        <v>0</v>
      </c>
      <c r="G101">
        <v>1</v>
      </c>
      <c r="H101">
        <v>2</v>
      </c>
      <c r="I101">
        <v>1</v>
      </c>
      <c r="J101">
        <v>2</v>
      </c>
      <c r="K101">
        <v>0</v>
      </c>
      <c r="L101">
        <v>0</v>
      </c>
      <c r="M101">
        <v>0.57499999999999929</v>
      </c>
      <c r="N101">
        <v>0.68300000000000038</v>
      </c>
      <c r="O101">
        <f>_xlfn.XLOOKUP(S101, AnglePowerMatching!$H:$H, AnglePowerMatching!$C:$C, "NaN")</f>
        <v>66</v>
      </c>
      <c r="P101">
        <f>_xlfn.XLOOKUP(S101, AnglePowerMatching!$H:$H, AnglePowerMatching!$D:$D, "NaN")</f>
        <v>10</v>
      </c>
      <c r="Q101" t="b">
        <f t="shared" si="3"/>
        <v>1</v>
      </c>
      <c r="R101">
        <f>VALUE(_xlfn.TEXTBEFORE(A101, {"L","R"}, , , , A101))</f>
        <v>948</v>
      </c>
      <c r="S101" t="str">
        <f t="shared" si="2"/>
        <v>94820250728</v>
      </c>
    </row>
    <row r="102" spans="1:19" x14ac:dyDescent="0.3">
      <c r="A102" t="s">
        <v>28</v>
      </c>
      <c r="B102" t="s">
        <v>92</v>
      </c>
      <c r="C102">
        <v>100</v>
      </c>
      <c r="D102">
        <v>66.666666666666657</v>
      </c>
      <c r="E102">
        <v>1</v>
      </c>
      <c r="F102">
        <v>0</v>
      </c>
      <c r="G102">
        <v>5</v>
      </c>
      <c r="H102">
        <v>4</v>
      </c>
      <c r="I102">
        <v>6</v>
      </c>
      <c r="J102">
        <v>6</v>
      </c>
      <c r="K102">
        <v>16.666666666666664</v>
      </c>
      <c r="L102">
        <v>0</v>
      </c>
      <c r="M102">
        <v>0.46639999999999943</v>
      </c>
      <c r="N102">
        <v>0.48775000000000124</v>
      </c>
      <c r="O102">
        <f>_xlfn.XLOOKUP(S102, AnglePowerMatching!$H:$H, AnglePowerMatching!$C:$C, "NaN")</f>
        <v>66</v>
      </c>
      <c r="P102">
        <f>_xlfn.XLOOKUP(S102, AnglePowerMatching!$H:$H, AnglePowerMatching!$D:$D, "NaN")</f>
        <v>10</v>
      </c>
      <c r="Q102" t="b">
        <f t="shared" si="3"/>
        <v>1</v>
      </c>
      <c r="R102">
        <f>VALUE(_xlfn.TEXTBEFORE(A102, {"L","R"}, , , , A102))</f>
        <v>948</v>
      </c>
      <c r="S102" t="str">
        <f t="shared" si="2"/>
        <v>94820250728</v>
      </c>
    </row>
    <row r="103" spans="1:19" x14ac:dyDescent="0.3">
      <c r="A103" t="s">
        <v>28</v>
      </c>
      <c r="B103" t="s">
        <v>92</v>
      </c>
      <c r="C103">
        <v>93.814432989690715</v>
      </c>
      <c r="D103">
        <v>88.775510204081627</v>
      </c>
      <c r="E103">
        <v>23</v>
      </c>
      <c r="F103">
        <v>22</v>
      </c>
      <c r="G103">
        <v>91</v>
      </c>
      <c r="H103">
        <v>87</v>
      </c>
      <c r="I103">
        <v>120</v>
      </c>
      <c r="J103">
        <v>120</v>
      </c>
      <c r="K103">
        <v>19.166666666666668</v>
      </c>
      <c r="L103">
        <v>18.333333333333332</v>
      </c>
      <c r="M103">
        <v>0.54502197802197783</v>
      </c>
      <c r="N103">
        <v>0.55297701149424061</v>
      </c>
      <c r="O103">
        <f>_xlfn.XLOOKUP(S103, AnglePowerMatching!$H:$H, AnglePowerMatching!$C:$C, "NaN")</f>
        <v>66</v>
      </c>
      <c r="P103">
        <f>_xlfn.XLOOKUP(S103, AnglePowerMatching!$H:$H, AnglePowerMatching!$D:$D, "NaN")</f>
        <v>10</v>
      </c>
      <c r="Q103" t="b">
        <f t="shared" si="3"/>
        <v>1</v>
      </c>
      <c r="R103">
        <f>VALUE(_xlfn.TEXTBEFORE(A103, {"L","R"}, , , , A103))</f>
        <v>948</v>
      </c>
      <c r="S103" t="str">
        <f t="shared" si="2"/>
        <v>94820250728</v>
      </c>
    </row>
    <row r="104" spans="1:19" x14ac:dyDescent="0.3">
      <c r="A104" t="s">
        <v>28</v>
      </c>
      <c r="B104" t="s">
        <v>93</v>
      </c>
      <c r="C104">
        <v>84.93150684931507</v>
      </c>
      <c r="D104">
        <v>89.743589743589752</v>
      </c>
      <c r="E104">
        <v>47</v>
      </c>
      <c r="F104">
        <v>42</v>
      </c>
      <c r="G104">
        <v>62</v>
      </c>
      <c r="H104">
        <v>70</v>
      </c>
      <c r="I104">
        <v>120</v>
      </c>
      <c r="J104">
        <v>120</v>
      </c>
      <c r="K104">
        <v>39.166666666666664</v>
      </c>
      <c r="L104">
        <v>35</v>
      </c>
      <c r="M104">
        <v>0.61246774193548315</v>
      </c>
      <c r="N104">
        <v>0.63437142857143192</v>
      </c>
      <c r="O104">
        <f>_xlfn.XLOOKUP(S104, AnglePowerMatching!$H:$H, AnglePowerMatching!$C:$C, "NaN")</f>
        <v>66</v>
      </c>
      <c r="P104">
        <f>_xlfn.XLOOKUP(S104, AnglePowerMatching!$H:$H, AnglePowerMatching!$D:$D, "NaN")</f>
        <v>3</v>
      </c>
      <c r="Q104" t="b">
        <f t="shared" si="3"/>
        <v>1</v>
      </c>
      <c r="R104">
        <f>VALUE(_xlfn.TEXTBEFORE(A104, {"L","R"}, , , , A104))</f>
        <v>948</v>
      </c>
      <c r="S104" t="str">
        <f t="shared" si="2"/>
        <v>94820250729</v>
      </c>
    </row>
    <row r="105" spans="1:19" x14ac:dyDescent="0.3">
      <c r="A105" t="s">
        <v>28</v>
      </c>
      <c r="B105" t="s">
        <v>94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50</v>
      </c>
      <c r="O105">
        <f>_xlfn.XLOOKUP(S105, AnglePowerMatching!$H:$H, AnglePowerMatching!$C:$C, "NaN")</f>
        <v>90</v>
      </c>
      <c r="P105">
        <f>_xlfn.XLOOKUP(S105, AnglePowerMatching!$H:$H, AnglePowerMatching!$D:$D, "NaN")</f>
        <v>3</v>
      </c>
      <c r="Q105" t="b">
        <f t="shared" si="3"/>
        <v>0</v>
      </c>
      <c r="R105">
        <f>VALUE(_xlfn.TEXTBEFORE(A105, {"L","R"}, , , , A105))</f>
        <v>948</v>
      </c>
      <c r="S105" t="str">
        <f t="shared" si="2"/>
        <v>94820250730</v>
      </c>
    </row>
    <row r="106" spans="1:19" x14ac:dyDescent="0.3">
      <c r="A106" t="s">
        <v>28</v>
      </c>
      <c r="B106" t="s">
        <v>94</v>
      </c>
      <c r="C106">
        <v>0</v>
      </c>
      <c r="E106">
        <v>1</v>
      </c>
      <c r="F106">
        <v>2</v>
      </c>
      <c r="G106">
        <v>0</v>
      </c>
      <c r="H106">
        <v>0</v>
      </c>
      <c r="I106">
        <v>2</v>
      </c>
      <c r="J106">
        <v>2</v>
      </c>
      <c r="K106">
        <v>50</v>
      </c>
      <c r="L106">
        <v>100</v>
      </c>
      <c r="O106">
        <f>_xlfn.XLOOKUP(S106, AnglePowerMatching!$H:$H, AnglePowerMatching!$C:$C, "NaN")</f>
        <v>90</v>
      </c>
      <c r="P106">
        <f>_xlfn.XLOOKUP(S106, AnglePowerMatching!$H:$H, AnglePowerMatching!$D:$D, "NaN")</f>
        <v>3</v>
      </c>
      <c r="Q106" t="b">
        <f t="shared" si="3"/>
        <v>0</v>
      </c>
      <c r="R106">
        <f>VALUE(_xlfn.TEXTBEFORE(A106, {"L","R"}, , , , A106))</f>
        <v>948</v>
      </c>
      <c r="S106" t="str">
        <f t="shared" si="2"/>
        <v>94820250730</v>
      </c>
    </row>
    <row r="107" spans="1:19" x14ac:dyDescent="0.3">
      <c r="A107" t="s">
        <v>28</v>
      </c>
      <c r="B107" t="s">
        <v>94</v>
      </c>
      <c r="C107">
        <v>91.780821917808225</v>
      </c>
      <c r="D107">
        <v>89.534883720930239</v>
      </c>
      <c r="E107">
        <v>42</v>
      </c>
      <c r="F107">
        <v>30</v>
      </c>
      <c r="G107">
        <v>67</v>
      </c>
      <c r="H107">
        <v>77</v>
      </c>
      <c r="I107">
        <v>115</v>
      </c>
      <c r="J107">
        <v>116</v>
      </c>
      <c r="K107">
        <v>36.521739130434781</v>
      </c>
      <c r="L107">
        <v>25.862068965517242</v>
      </c>
      <c r="M107">
        <v>0.5142835820895616</v>
      </c>
      <c r="N107">
        <v>0.53480519480519506</v>
      </c>
      <c r="O107">
        <f>_xlfn.XLOOKUP(S107, AnglePowerMatching!$H:$H, AnglePowerMatching!$C:$C, "NaN")</f>
        <v>90</v>
      </c>
      <c r="P107">
        <f>_xlfn.XLOOKUP(S107, AnglePowerMatching!$H:$H, AnglePowerMatching!$D:$D, "NaN")</f>
        <v>3</v>
      </c>
      <c r="Q107" t="b">
        <f t="shared" si="3"/>
        <v>1</v>
      </c>
      <c r="R107">
        <f>VALUE(_xlfn.TEXTBEFORE(A107, {"L","R"}, , , , A107))</f>
        <v>948</v>
      </c>
      <c r="S107" t="str">
        <f t="shared" si="2"/>
        <v>94820250730</v>
      </c>
    </row>
    <row r="108" spans="1:19" x14ac:dyDescent="0.3">
      <c r="A108" t="s">
        <v>28</v>
      </c>
      <c r="B108" t="s">
        <v>95</v>
      </c>
      <c r="C108">
        <v>83.478260869565219</v>
      </c>
      <c r="D108">
        <v>87.610619469026545</v>
      </c>
      <c r="E108">
        <v>5</v>
      </c>
      <c r="F108">
        <v>7</v>
      </c>
      <c r="G108">
        <v>96</v>
      </c>
      <c r="H108">
        <v>99</v>
      </c>
      <c r="I108">
        <v>120</v>
      </c>
      <c r="J108">
        <v>120</v>
      </c>
      <c r="K108">
        <v>4.1666666666666661</v>
      </c>
      <c r="L108">
        <v>5.833333333333333</v>
      </c>
      <c r="M108">
        <v>0.41176041666667035</v>
      </c>
      <c r="N108">
        <v>0.43931313131312344</v>
      </c>
      <c r="O108">
        <f>_xlfn.XLOOKUP(S108, AnglePowerMatching!$H:$H, AnglePowerMatching!$C:$C, "NaN")</f>
        <v>90</v>
      </c>
      <c r="P108">
        <f>_xlfn.XLOOKUP(S108, AnglePowerMatching!$H:$H, AnglePowerMatching!$D:$D, "NaN")</f>
        <v>5</v>
      </c>
      <c r="Q108" t="b">
        <f t="shared" si="3"/>
        <v>1</v>
      </c>
      <c r="R108">
        <f>VALUE(_xlfn.TEXTBEFORE(A108, {"L","R"}, , , , A108))</f>
        <v>948</v>
      </c>
      <c r="S108" t="str">
        <f t="shared" si="2"/>
        <v>94820250731</v>
      </c>
    </row>
    <row r="109" spans="1:19" x14ac:dyDescent="0.3">
      <c r="A109" t="s">
        <v>28</v>
      </c>
      <c r="B109" t="s">
        <v>96</v>
      </c>
      <c r="C109">
        <v>96.039603960396036</v>
      </c>
      <c r="D109">
        <v>91.818181818181827</v>
      </c>
      <c r="E109">
        <v>29</v>
      </c>
      <c r="F109">
        <v>21</v>
      </c>
      <c r="G109">
        <v>97</v>
      </c>
      <c r="H109">
        <v>101</v>
      </c>
      <c r="I109">
        <v>130</v>
      </c>
      <c r="J109">
        <v>131</v>
      </c>
      <c r="K109">
        <v>22.30769230769231</v>
      </c>
      <c r="L109">
        <v>16.030534351145036</v>
      </c>
      <c r="M109">
        <v>0.51113402061854663</v>
      </c>
      <c r="N109">
        <v>0.49015841584158459</v>
      </c>
      <c r="O109">
        <f>_xlfn.XLOOKUP(S109, AnglePowerMatching!$H:$H, AnglePowerMatching!$C:$C, "NaN")</f>
        <v>90</v>
      </c>
      <c r="P109">
        <f>_xlfn.XLOOKUP(S109, AnglePowerMatching!$H:$H, AnglePowerMatching!$D:$D, "NaN")</f>
        <v>10</v>
      </c>
      <c r="Q109" t="b">
        <f t="shared" si="3"/>
        <v>1</v>
      </c>
      <c r="R109">
        <f>VALUE(_xlfn.TEXTBEFORE(A109, {"L","R"}, , , , A109))</f>
        <v>948</v>
      </c>
      <c r="S109" t="str">
        <f t="shared" si="2"/>
        <v>94820250801</v>
      </c>
    </row>
    <row r="110" spans="1:19" x14ac:dyDescent="0.3">
      <c r="A110" t="s">
        <v>28</v>
      </c>
      <c r="B110" t="s">
        <v>97</v>
      </c>
      <c r="C110">
        <v>92.537313432835816</v>
      </c>
      <c r="D110">
        <v>96.240601503759393</v>
      </c>
      <c r="E110">
        <v>0</v>
      </c>
      <c r="F110">
        <v>2</v>
      </c>
      <c r="G110">
        <v>124</v>
      </c>
      <c r="H110">
        <v>128</v>
      </c>
      <c r="I110">
        <v>134</v>
      </c>
      <c r="J110">
        <v>135</v>
      </c>
      <c r="K110">
        <v>0</v>
      </c>
      <c r="L110">
        <v>1.4814814814814816</v>
      </c>
      <c r="M110">
        <v>0.38116129032257823</v>
      </c>
      <c r="N110">
        <v>0.37492968749998556</v>
      </c>
      <c r="O110" t="str">
        <f>_xlfn.XLOOKUP(S110, AnglePowerMatching!$H:$H, AnglePowerMatching!$C:$C, "NaN")</f>
        <v>NaN</v>
      </c>
      <c r="P110" t="str">
        <f>_xlfn.XLOOKUP(S110, AnglePowerMatching!$H:$H, AnglePowerMatching!$D:$D, "NaN")</f>
        <v>NaN</v>
      </c>
      <c r="Q110" t="b">
        <f t="shared" si="3"/>
        <v>1</v>
      </c>
      <c r="R110">
        <f>VALUE(_xlfn.TEXTBEFORE(A110, {"L","R"}, , , , A110))</f>
        <v>948</v>
      </c>
      <c r="S110" t="str">
        <f t="shared" si="2"/>
        <v>94820250802</v>
      </c>
    </row>
    <row r="111" spans="1:19" x14ac:dyDescent="0.3">
      <c r="A111" t="s">
        <v>28</v>
      </c>
      <c r="B111" t="s">
        <v>98</v>
      </c>
      <c r="C111">
        <v>92.10526315789474</v>
      </c>
      <c r="D111">
        <v>91.228070175438589</v>
      </c>
      <c r="E111">
        <v>6</v>
      </c>
      <c r="F111">
        <v>6</v>
      </c>
      <c r="G111">
        <v>105</v>
      </c>
      <c r="H111">
        <v>104</v>
      </c>
      <c r="I111">
        <v>120</v>
      </c>
      <c r="J111">
        <v>120</v>
      </c>
      <c r="K111">
        <v>5</v>
      </c>
      <c r="L111">
        <v>5</v>
      </c>
      <c r="M111">
        <v>0.50390476190476752</v>
      </c>
      <c r="N111">
        <v>0.49585576923076452</v>
      </c>
      <c r="O111">
        <f>_xlfn.XLOOKUP(S111, AnglePowerMatching!$H:$H, AnglePowerMatching!$C:$C, "NaN")</f>
        <v>35</v>
      </c>
      <c r="P111">
        <f>_xlfn.XLOOKUP(S111, AnglePowerMatching!$H:$H, AnglePowerMatching!$D:$D, "NaN")</f>
        <v>3</v>
      </c>
      <c r="Q111" t="b">
        <f t="shared" si="3"/>
        <v>1</v>
      </c>
      <c r="R111">
        <f>VALUE(_xlfn.TEXTBEFORE(A111, {"L","R"}, , , , A111))</f>
        <v>948</v>
      </c>
      <c r="S111" t="str">
        <f t="shared" si="2"/>
        <v>94820250803</v>
      </c>
    </row>
    <row r="112" spans="1:19" x14ac:dyDescent="0.3">
      <c r="A112" t="s">
        <v>28</v>
      </c>
      <c r="B112" t="s">
        <v>99</v>
      </c>
      <c r="C112">
        <v>85.91549295774648</v>
      </c>
      <c r="D112">
        <v>88.461538461538453</v>
      </c>
      <c r="E112">
        <v>49</v>
      </c>
      <c r="F112">
        <v>44</v>
      </c>
      <c r="G112">
        <v>61</v>
      </c>
      <c r="H112">
        <v>69</v>
      </c>
      <c r="I112">
        <v>120</v>
      </c>
      <c r="J112">
        <v>122</v>
      </c>
      <c r="K112">
        <v>40.833333333333336</v>
      </c>
      <c r="L112">
        <v>36.065573770491802</v>
      </c>
      <c r="M112">
        <v>0.45629508196721302</v>
      </c>
      <c r="N112">
        <v>0.50857971014492942</v>
      </c>
      <c r="O112" t="str">
        <f>_xlfn.XLOOKUP(S112, AnglePowerMatching!$H:$H, AnglePowerMatching!$C:$C, "NaN")</f>
        <v>NaN</v>
      </c>
      <c r="P112" t="str">
        <f>_xlfn.XLOOKUP(S112, AnglePowerMatching!$H:$H, AnglePowerMatching!$D:$D, "NaN")</f>
        <v>NaN</v>
      </c>
      <c r="Q112" t="b">
        <f t="shared" si="3"/>
        <v>1</v>
      </c>
      <c r="R112">
        <f>VALUE(_xlfn.TEXTBEFORE(A112, {"L","R"}, , , , A112))</f>
        <v>948</v>
      </c>
      <c r="S112" t="str">
        <f t="shared" si="2"/>
        <v>94820250804</v>
      </c>
    </row>
    <row r="113" spans="1:19" x14ac:dyDescent="0.3">
      <c r="A113" t="s">
        <v>28</v>
      </c>
      <c r="B113" t="s">
        <v>100</v>
      </c>
      <c r="C113">
        <v>65.217391304347828</v>
      </c>
      <c r="D113">
        <v>65.217391304347828</v>
      </c>
      <c r="E113">
        <v>115</v>
      </c>
      <c r="F113">
        <v>113</v>
      </c>
      <c r="G113">
        <v>15</v>
      </c>
      <c r="H113">
        <v>15</v>
      </c>
      <c r="I113">
        <v>138</v>
      </c>
      <c r="J113">
        <v>136</v>
      </c>
      <c r="K113">
        <v>83.333333333333343</v>
      </c>
      <c r="L113">
        <v>83.088235294117652</v>
      </c>
      <c r="M113">
        <v>0.69999999999999385</v>
      </c>
      <c r="N113">
        <v>0.78606666666667024</v>
      </c>
      <c r="O113" t="str">
        <f>_xlfn.XLOOKUP(S113, AnglePowerMatching!$H:$H, AnglePowerMatching!$C:$C, "NaN")</f>
        <v>NaN</v>
      </c>
      <c r="P113" t="str">
        <f>_xlfn.XLOOKUP(S113, AnglePowerMatching!$H:$H, AnglePowerMatching!$D:$D, "NaN")</f>
        <v>NaN</v>
      </c>
      <c r="Q113" t="b">
        <f t="shared" si="3"/>
        <v>1</v>
      </c>
      <c r="R113">
        <f>VALUE(_xlfn.TEXTBEFORE(A113, {"L","R"}, , , , A113))</f>
        <v>948</v>
      </c>
      <c r="S113" t="str">
        <f t="shared" si="2"/>
        <v>94820250805</v>
      </c>
    </row>
    <row r="114" spans="1:19" x14ac:dyDescent="0.3">
      <c r="A114" t="s">
        <v>28</v>
      </c>
      <c r="B114" t="s">
        <v>101</v>
      </c>
      <c r="C114">
        <v>86.842105263157904</v>
      </c>
      <c r="D114">
        <v>92.857142857142861</v>
      </c>
      <c r="E114">
        <v>26</v>
      </c>
      <c r="F114">
        <v>32</v>
      </c>
      <c r="G114">
        <v>66</v>
      </c>
      <c r="H114">
        <v>65</v>
      </c>
      <c r="I114">
        <v>102</v>
      </c>
      <c r="J114">
        <v>102</v>
      </c>
      <c r="K114">
        <v>25.490196078431371</v>
      </c>
      <c r="L114">
        <v>31.372549019607842</v>
      </c>
      <c r="M114">
        <v>0.49921212121211961</v>
      </c>
      <c r="N114">
        <v>0.48170769230769611</v>
      </c>
      <c r="O114">
        <f>_xlfn.XLOOKUP(S114, AnglePowerMatching!$H:$H, AnglePowerMatching!$C:$C, "NaN")</f>
        <v>35</v>
      </c>
      <c r="P114">
        <f>_xlfn.XLOOKUP(S114, AnglePowerMatching!$H:$H, AnglePowerMatching!$D:$D, "NaN")</f>
        <v>5</v>
      </c>
      <c r="Q114" t="b">
        <f t="shared" si="3"/>
        <v>1</v>
      </c>
      <c r="R114">
        <f>VALUE(_xlfn.TEXTBEFORE(A114, {"L","R"}, , , , A114))</f>
        <v>948</v>
      </c>
      <c r="S114" t="str">
        <f t="shared" si="2"/>
        <v>94820250806</v>
      </c>
    </row>
    <row r="115" spans="1:19" x14ac:dyDescent="0.3">
      <c r="A115" t="s">
        <v>28</v>
      </c>
      <c r="B115" t="s">
        <v>102</v>
      </c>
      <c r="C115">
        <v>64.545454545454547</v>
      </c>
      <c r="D115">
        <v>63.478260869565219</v>
      </c>
      <c r="E115">
        <v>5</v>
      </c>
      <c r="F115">
        <v>0</v>
      </c>
      <c r="G115">
        <v>71</v>
      </c>
      <c r="H115">
        <v>73</v>
      </c>
      <c r="I115">
        <v>115</v>
      </c>
      <c r="J115">
        <v>115</v>
      </c>
      <c r="K115">
        <v>4.3478260869565215</v>
      </c>
      <c r="L115">
        <v>0</v>
      </c>
      <c r="M115">
        <v>0.27321126760563741</v>
      </c>
      <c r="N115">
        <v>0.26446575342466266</v>
      </c>
      <c r="O115">
        <f>_xlfn.XLOOKUP(S115, AnglePowerMatching!$H:$H, AnglePowerMatching!$C:$C, "NaN")</f>
        <v>35</v>
      </c>
      <c r="P115">
        <f>_xlfn.XLOOKUP(S115, AnglePowerMatching!$H:$H, AnglePowerMatching!$D:$D, "NaN")</f>
        <v>10</v>
      </c>
      <c r="Q115" t="b">
        <f t="shared" si="3"/>
        <v>1</v>
      </c>
      <c r="R115">
        <f>VALUE(_xlfn.TEXTBEFORE(A115, {"L","R"}, , , , A115))</f>
        <v>948</v>
      </c>
      <c r="S115" t="str">
        <f t="shared" si="2"/>
        <v>94820250807</v>
      </c>
    </row>
    <row r="116" spans="1:19" x14ac:dyDescent="0.3">
      <c r="A116" t="s">
        <v>28</v>
      </c>
      <c r="B116" t="s">
        <v>103</v>
      </c>
      <c r="C116">
        <v>83.516483516483518</v>
      </c>
      <c r="D116">
        <v>79.775280898876403</v>
      </c>
      <c r="E116">
        <v>23</v>
      </c>
      <c r="F116">
        <v>25</v>
      </c>
      <c r="G116">
        <v>76</v>
      </c>
      <c r="H116">
        <v>71</v>
      </c>
      <c r="I116">
        <v>114</v>
      </c>
      <c r="J116">
        <v>114</v>
      </c>
      <c r="K116">
        <v>20.175438596491226</v>
      </c>
      <c r="L116">
        <v>21.929824561403507</v>
      </c>
      <c r="M116">
        <v>0.37123684210526203</v>
      </c>
      <c r="N116">
        <v>0.37480281690140865</v>
      </c>
      <c r="O116" t="str">
        <f>_xlfn.XLOOKUP(S116, AnglePowerMatching!$H:$H, AnglePowerMatching!$C:$C, "NaN")</f>
        <v>NaN</v>
      </c>
      <c r="P116" t="str">
        <f>_xlfn.XLOOKUP(S116, AnglePowerMatching!$H:$H, AnglePowerMatching!$D:$D, "NaN")</f>
        <v>NaN</v>
      </c>
      <c r="Q116" t="b">
        <f t="shared" si="3"/>
        <v>1</v>
      </c>
      <c r="R116">
        <f>VALUE(_xlfn.TEXTBEFORE(A116, {"L","R"}, , , , A116))</f>
        <v>948</v>
      </c>
      <c r="S116" t="str">
        <f t="shared" si="2"/>
        <v>94820250808</v>
      </c>
    </row>
    <row r="117" spans="1:19" x14ac:dyDescent="0.3">
      <c r="A117" t="s">
        <v>28</v>
      </c>
      <c r="B117" t="s">
        <v>104</v>
      </c>
      <c r="C117">
        <v>72.881355932203391</v>
      </c>
      <c r="D117">
        <v>82.203389830508485</v>
      </c>
      <c r="E117">
        <v>5</v>
      </c>
      <c r="F117">
        <v>5</v>
      </c>
      <c r="G117">
        <v>86</v>
      </c>
      <c r="H117">
        <v>97</v>
      </c>
      <c r="I117">
        <v>123</v>
      </c>
      <c r="J117">
        <v>123</v>
      </c>
      <c r="K117">
        <v>4.0650406504065035</v>
      </c>
      <c r="L117">
        <v>4.0650406504065035</v>
      </c>
      <c r="M117">
        <v>0.38136046511628879</v>
      </c>
      <c r="N117">
        <v>0.38401030927835084</v>
      </c>
      <c r="O117" t="str">
        <f>_xlfn.XLOOKUP(S117, AnglePowerMatching!$H:$H, AnglePowerMatching!$C:$C, "NaN")</f>
        <v>NaN</v>
      </c>
      <c r="P117" t="str">
        <f>_xlfn.XLOOKUP(S117, AnglePowerMatching!$H:$H, AnglePowerMatching!$D:$D, "NaN")</f>
        <v>NaN</v>
      </c>
      <c r="Q117" t="b">
        <f t="shared" si="3"/>
        <v>1</v>
      </c>
      <c r="R117">
        <f>VALUE(_xlfn.TEXTBEFORE(A117, {"L","R"}, , , , A117))</f>
        <v>948</v>
      </c>
      <c r="S117" t="str">
        <f t="shared" si="2"/>
        <v>94820250809</v>
      </c>
    </row>
    <row r="118" spans="1:19" x14ac:dyDescent="0.3">
      <c r="A118" t="s">
        <v>28</v>
      </c>
      <c r="B118" t="s">
        <v>105</v>
      </c>
      <c r="C118">
        <v>70.833333333333343</v>
      </c>
      <c r="D118">
        <v>70.103092783505147</v>
      </c>
      <c r="E118">
        <v>7</v>
      </c>
      <c r="F118">
        <v>6</v>
      </c>
      <c r="G118">
        <v>68</v>
      </c>
      <c r="H118">
        <v>68</v>
      </c>
      <c r="I118">
        <v>103</v>
      </c>
      <c r="J118">
        <v>103</v>
      </c>
      <c r="K118">
        <v>6.7961165048543686</v>
      </c>
      <c r="L118">
        <v>5.825242718446602</v>
      </c>
      <c r="M118">
        <v>0.3012058823529542</v>
      </c>
      <c r="N118">
        <v>0.29051470588236317</v>
      </c>
      <c r="O118" t="str">
        <f>_xlfn.XLOOKUP(S118, AnglePowerMatching!$H:$H, AnglePowerMatching!$C:$C, "NaN")</f>
        <v>NaN</v>
      </c>
      <c r="P118" t="str">
        <f>_xlfn.XLOOKUP(S118, AnglePowerMatching!$H:$H, AnglePowerMatching!$D:$D, "NaN")</f>
        <v>NaN</v>
      </c>
      <c r="Q118" t="b">
        <f t="shared" si="3"/>
        <v>1</v>
      </c>
      <c r="R118">
        <f>VALUE(_xlfn.TEXTBEFORE(A118, {"L","R"}, , , , A118))</f>
        <v>948</v>
      </c>
      <c r="S118" t="str">
        <f t="shared" si="2"/>
        <v>94820250810</v>
      </c>
    </row>
    <row r="119" spans="1:19" x14ac:dyDescent="0.3">
      <c r="A119" t="s">
        <v>28</v>
      </c>
      <c r="B119" t="s">
        <v>106</v>
      </c>
      <c r="C119">
        <v>81.818181818181827</v>
      </c>
      <c r="D119">
        <v>81.981981981981974</v>
      </c>
      <c r="E119">
        <v>15</v>
      </c>
      <c r="F119">
        <v>16</v>
      </c>
      <c r="G119">
        <v>90</v>
      </c>
      <c r="H119">
        <v>91</v>
      </c>
      <c r="I119">
        <v>125</v>
      </c>
      <c r="J119">
        <v>127</v>
      </c>
      <c r="K119">
        <v>12</v>
      </c>
      <c r="L119">
        <v>12.598425196850393</v>
      </c>
      <c r="M119">
        <v>0.40074444444445145</v>
      </c>
      <c r="N119">
        <v>0.35846153846155293</v>
      </c>
      <c r="O119" t="str">
        <f>_xlfn.XLOOKUP(S119, AnglePowerMatching!$H:$H, AnglePowerMatching!$C:$C, "NaN")</f>
        <v>NaN</v>
      </c>
      <c r="P119" t="str">
        <f>_xlfn.XLOOKUP(S119, AnglePowerMatching!$H:$H, AnglePowerMatching!$D:$D, "NaN")</f>
        <v>NaN</v>
      </c>
      <c r="Q119" t="b">
        <f t="shared" si="3"/>
        <v>1</v>
      </c>
      <c r="R119">
        <f>VALUE(_xlfn.TEXTBEFORE(A119, {"L","R"}, , , , A119))</f>
        <v>948</v>
      </c>
      <c r="S119" t="str">
        <f t="shared" si="2"/>
        <v>94820250811</v>
      </c>
    </row>
    <row r="120" spans="1:19" x14ac:dyDescent="0.3">
      <c r="A120" t="s">
        <v>28</v>
      </c>
      <c r="B120" t="s">
        <v>107</v>
      </c>
      <c r="C120">
        <v>90.909090909090907</v>
      </c>
      <c r="D120">
        <v>90</v>
      </c>
      <c r="E120">
        <v>0</v>
      </c>
      <c r="F120">
        <v>1</v>
      </c>
      <c r="G120">
        <v>110</v>
      </c>
      <c r="H120">
        <v>108</v>
      </c>
      <c r="I120">
        <v>121</v>
      </c>
      <c r="J120">
        <v>121</v>
      </c>
      <c r="K120">
        <v>0</v>
      </c>
      <c r="L120">
        <v>0.82644628099173556</v>
      </c>
      <c r="M120">
        <v>0.35438181818181702</v>
      </c>
      <c r="N120">
        <v>0.35283333333332323</v>
      </c>
      <c r="O120" t="str">
        <f>_xlfn.XLOOKUP(S120, AnglePowerMatching!$H:$H, AnglePowerMatching!$C:$C, "NaN")</f>
        <v>NaN</v>
      </c>
      <c r="P120" t="str">
        <f>_xlfn.XLOOKUP(S120, AnglePowerMatching!$H:$H, AnglePowerMatching!$D:$D, "NaN")</f>
        <v>NaN</v>
      </c>
      <c r="Q120" t="b">
        <f t="shared" si="3"/>
        <v>1</v>
      </c>
      <c r="R120">
        <f>VALUE(_xlfn.TEXTBEFORE(A120, {"L","R"}, , , , A120))</f>
        <v>948</v>
      </c>
      <c r="S120" t="str">
        <f t="shared" si="2"/>
        <v>94820250812</v>
      </c>
    </row>
    <row r="121" spans="1:19" x14ac:dyDescent="0.3">
      <c r="A121" t="s">
        <v>28</v>
      </c>
      <c r="B121" t="s">
        <v>108</v>
      </c>
      <c r="C121">
        <v>0</v>
      </c>
      <c r="E121">
        <v>2</v>
      </c>
      <c r="F121">
        <v>4</v>
      </c>
      <c r="G121">
        <v>0</v>
      </c>
      <c r="H121">
        <v>0</v>
      </c>
      <c r="I121">
        <v>3</v>
      </c>
      <c r="J121">
        <v>4</v>
      </c>
      <c r="K121">
        <v>66.666666666666657</v>
      </c>
      <c r="L121">
        <v>100</v>
      </c>
      <c r="O121">
        <f>_xlfn.XLOOKUP(S121, AnglePowerMatching!$H:$H, AnglePowerMatching!$C:$C, "NaN")</f>
        <v>26</v>
      </c>
      <c r="P121">
        <f>_xlfn.XLOOKUP(S121, AnglePowerMatching!$H:$H, AnglePowerMatching!$D:$D, "NaN")</f>
        <v>3</v>
      </c>
      <c r="Q121" t="b">
        <f t="shared" si="3"/>
        <v>0</v>
      </c>
      <c r="R121">
        <f>VALUE(_xlfn.TEXTBEFORE(A121, {"L","R"}, , , , A121))</f>
        <v>948</v>
      </c>
      <c r="S121" t="str">
        <f t="shared" si="2"/>
        <v>94820250813</v>
      </c>
    </row>
    <row r="122" spans="1:19" x14ac:dyDescent="0.3">
      <c r="A122" t="s">
        <v>28</v>
      </c>
      <c r="B122" t="s">
        <v>108</v>
      </c>
      <c r="D122">
        <v>100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N122">
        <v>0.29599999999999999</v>
      </c>
      <c r="O122">
        <f>_xlfn.XLOOKUP(S122, AnglePowerMatching!$H:$H, AnglePowerMatching!$C:$C, "NaN")</f>
        <v>26</v>
      </c>
      <c r="P122">
        <f>_xlfn.XLOOKUP(S122, AnglePowerMatching!$H:$H, AnglePowerMatching!$D:$D, "NaN")</f>
        <v>3</v>
      </c>
      <c r="Q122" t="b">
        <f t="shared" si="3"/>
        <v>0</v>
      </c>
      <c r="R122">
        <f>VALUE(_xlfn.TEXTBEFORE(A122, {"L","R"}, , , , A122))</f>
        <v>948</v>
      </c>
      <c r="S122" t="str">
        <f t="shared" si="2"/>
        <v>94820250813</v>
      </c>
    </row>
    <row r="123" spans="1:19" x14ac:dyDescent="0.3">
      <c r="A123" t="s">
        <v>28</v>
      </c>
      <c r="B123" t="s">
        <v>108</v>
      </c>
      <c r="C123">
        <v>87.387387387387378</v>
      </c>
      <c r="D123">
        <v>92.10526315789474</v>
      </c>
      <c r="E123">
        <v>13</v>
      </c>
      <c r="F123">
        <v>10</v>
      </c>
      <c r="G123">
        <v>97</v>
      </c>
      <c r="H123">
        <v>105</v>
      </c>
      <c r="I123">
        <v>124</v>
      </c>
      <c r="J123">
        <v>124</v>
      </c>
      <c r="K123">
        <v>10.483870967741936</v>
      </c>
      <c r="L123">
        <v>8.064516129032258</v>
      </c>
      <c r="M123">
        <v>0.3676907216494924</v>
      </c>
      <c r="N123">
        <v>0.37620000000001241</v>
      </c>
      <c r="O123">
        <f>_xlfn.XLOOKUP(S123, AnglePowerMatching!$H:$H, AnglePowerMatching!$C:$C, "NaN")</f>
        <v>26</v>
      </c>
      <c r="P123">
        <f>_xlfn.XLOOKUP(S123, AnglePowerMatching!$H:$H, AnglePowerMatching!$D:$D, "NaN")</f>
        <v>3</v>
      </c>
      <c r="Q123" t="b">
        <f t="shared" si="3"/>
        <v>1</v>
      </c>
      <c r="R123">
        <f>VALUE(_xlfn.TEXTBEFORE(A123, {"L","R"}, , , , A123))</f>
        <v>948</v>
      </c>
      <c r="S123" t="str">
        <f t="shared" si="2"/>
        <v>94820250813</v>
      </c>
    </row>
    <row r="124" spans="1:19" x14ac:dyDescent="0.3">
      <c r="A124" t="s">
        <v>28</v>
      </c>
      <c r="B124" t="s">
        <v>109</v>
      </c>
      <c r="C124">
        <v>79.824561403508781</v>
      </c>
      <c r="D124">
        <v>83.333333333333343</v>
      </c>
      <c r="E124">
        <v>0</v>
      </c>
      <c r="F124">
        <v>0</v>
      </c>
      <c r="G124">
        <v>91</v>
      </c>
      <c r="H124">
        <v>95</v>
      </c>
      <c r="I124">
        <v>114</v>
      </c>
      <c r="J124">
        <v>114</v>
      </c>
      <c r="K124">
        <v>0</v>
      </c>
      <c r="L124">
        <v>0</v>
      </c>
      <c r="M124">
        <v>0.33020879120879459</v>
      </c>
      <c r="N124">
        <v>0.31454736842103553</v>
      </c>
      <c r="O124">
        <f>_xlfn.XLOOKUP(S124, AnglePowerMatching!$H:$H, AnglePowerMatching!$C:$C, "NaN")</f>
        <v>26</v>
      </c>
      <c r="P124">
        <f>_xlfn.XLOOKUP(S124, AnglePowerMatching!$H:$H, AnglePowerMatching!$D:$D, "NaN")</f>
        <v>5</v>
      </c>
      <c r="Q124" t="b">
        <f t="shared" si="3"/>
        <v>1</v>
      </c>
      <c r="R124">
        <f>VALUE(_xlfn.TEXTBEFORE(A124, {"L","R"}, , , , A124))</f>
        <v>948</v>
      </c>
      <c r="S124" t="str">
        <f t="shared" si="2"/>
        <v>94820250814</v>
      </c>
    </row>
    <row r="125" spans="1:19" x14ac:dyDescent="0.3">
      <c r="A125" t="s">
        <v>28</v>
      </c>
      <c r="B125" t="s">
        <v>110</v>
      </c>
      <c r="C125">
        <v>88.235294117647058</v>
      </c>
      <c r="D125">
        <v>90.082644628099175</v>
      </c>
      <c r="E125">
        <v>5</v>
      </c>
      <c r="F125">
        <v>3</v>
      </c>
      <c r="G125">
        <v>105</v>
      </c>
      <c r="H125">
        <v>109</v>
      </c>
      <c r="I125">
        <v>124</v>
      </c>
      <c r="J125">
        <v>124</v>
      </c>
      <c r="K125">
        <v>4.032258064516129</v>
      </c>
      <c r="L125">
        <v>2.4193548387096775</v>
      </c>
      <c r="M125">
        <v>0.33618095238095247</v>
      </c>
      <c r="N125">
        <v>0.33287155963304121</v>
      </c>
      <c r="O125">
        <f>_xlfn.XLOOKUP(S125, AnglePowerMatching!$H:$H, AnglePowerMatching!$C:$C, "NaN")</f>
        <v>26</v>
      </c>
      <c r="P125">
        <f>_xlfn.XLOOKUP(S125, AnglePowerMatching!$H:$H, AnglePowerMatching!$D:$D, "NaN")</f>
        <v>10</v>
      </c>
      <c r="Q125" t="b">
        <f t="shared" si="3"/>
        <v>1</v>
      </c>
      <c r="R125">
        <f>VALUE(_xlfn.TEXTBEFORE(A125, {"L","R"}, , , , A125))</f>
        <v>948</v>
      </c>
      <c r="S125" t="str">
        <f t="shared" si="2"/>
        <v>94820250815</v>
      </c>
    </row>
    <row r="126" spans="1:19" x14ac:dyDescent="0.3">
      <c r="A126" t="s">
        <v>28</v>
      </c>
      <c r="B126" t="s">
        <v>111</v>
      </c>
      <c r="C126">
        <v>71.05263157894737</v>
      </c>
      <c r="D126">
        <v>68.376068376068375</v>
      </c>
      <c r="E126">
        <v>6</v>
      </c>
      <c r="F126">
        <v>3</v>
      </c>
      <c r="G126">
        <v>81</v>
      </c>
      <c r="H126">
        <v>80</v>
      </c>
      <c r="I126">
        <v>120</v>
      </c>
      <c r="J126">
        <v>120</v>
      </c>
      <c r="K126">
        <v>5</v>
      </c>
      <c r="L126">
        <v>2.5</v>
      </c>
      <c r="M126">
        <v>0.26251851851851782</v>
      </c>
      <c r="N126">
        <v>0.26364999999999544</v>
      </c>
      <c r="O126">
        <f>_xlfn.XLOOKUP(S126, AnglePowerMatching!$H:$H, AnglePowerMatching!$C:$C, "NaN")</f>
        <v>16</v>
      </c>
      <c r="P126">
        <f>_xlfn.XLOOKUP(S126, AnglePowerMatching!$H:$H, AnglePowerMatching!$D:$D, "NaN")</f>
        <v>3</v>
      </c>
      <c r="Q126" t="b">
        <f t="shared" si="3"/>
        <v>1</v>
      </c>
      <c r="R126">
        <f>VALUE(_xlfn.TEXTBEFORE(A126, {"L","R"}, , , , A126))</f>
        <v>948</v>
      </c>
      <c r="S126" t="str">
        <f t="shared" si="2"/>
        <v>94820250816</v>
      </c>
    </row>
    <row r="127" spans="1:19" x14ac:dyDescent="0.3">
      <c r="A127" t="s">
        <v>28</v>
      </c>
      <c r="B127" t="s">
        <v>112</v>
      </c>
      <c r="D127">
        <v>0</v>
      </c>
      <c r="E127">
        <v>12</v>
      </c>
      <c r="F127">
        <v>11</v>
      </c>
      <c r="G127">
        <v>0</v>
      </c>
      <c r="H127">
        <v>0</v>
      </c>
      <c r="I127">
        <v>12</v>
      </c>
      <c r="J127">
        <v>12</v>
      </c>
      <c r="K127">
        <v>100</v>
      </c>
      <c r="L127">
        <v>91.666666666666657</v>
      </c>
      <c r="O127" t="str">
        <f>_xlfn.XLOOKUP(S127, AnglePowerMatching!$H:$H, AnglePowerMatching!$C:$C, "NaN")</f>
        <v>NaN</v>
      </c>
      <c r="P127" t="str">
        <f>_xlfn.XLOOKUP(S127, AnglePowerMatching!$H:$H, AnglePowerMatching!$D:$D, "NaN")</f>
        <v>NaN</v>
      </c>
      <c r="Q127" t="b">
        <f t="shared" si="3"/>
        <v>0</v>
      </c>
      <c r="R127">
        <f>VALUE(_xlfn.TEXTBEFORE(A127, {"L","R"}, , , , A127))</f>
        <v>948</v>
      </c>
      <c r="S127" t="str">
        <f t="shared" si="2"/>
        <v>94820250817</v>
      </c>
    </row>
    <row r="128" spans="1:19" x14ac:dyDescent="0.3">
      <c r="A128" t="s">
        <v>28</v>
      </c>
      <c r="B128" t="s">
        <v>87</v>
      </c>
      <c r="C128">
        <v>76.724137931034491</v>
      </c>
      <c r="D128">
        <v>74.137931034482762</v>
      </c>
      <c r="E128">
        <v>4</v>
      </c>
      <c r="F128">
        <v>4</v>
      </c>
      <c r="G128">
        <v>89</v>
      </c>
      <c r="H128">
        <v>86</v>
      </c>
      <c r="I128">
        <v>120</v>
      </c>
      <c r="J128">
        <v>120</v>
      </c>
      <c r="K128">
        <v>3.3333333333333335</v>
      </c>
      <c r="L128">
        <v>3.3333333333333335</v>
      </c>
      <c r="M128">
        <v>0.31822471910112904</v>
      </c>
      <c r="N128">
        <v>0.3192441860465105</v>
      </c>
      <c r="O128" t="str">
        <f>_xlfn.XLOOKUP(S128, AnglePowerMatching!$H:$H, AnglePowerMatching!$C:$C, "NaN")</f>
        <v>NaN</v>
      </c>
      <c r="P128" t="str">
        <f>_xlfn.XLOOKUP(S128, AnglePowerMatching!$H:$H, AnglePowerMatching!$D:$D, "NaN")</f>
        <v>NaN</v>
      </c>
      <c r="Q128" t="b">
        <f t="shared" si="3"/>
        <v>1</v>
      </c>
      <c r="R128">
        <f>VALUE(_xlfn.TEXTBEFORE(A128, {"L","R"}, , , , A128))</f>
        <v>948</v>
      </c>
      <c r="S128" t="str">
        <f t="shared" si="2"/>
        <v>94820250818</v>
      </c>
    </row>
    <row r="129" spans="1:19" x14ac:dyDescent="0.3">
      <c r="A129" t="s">
        <v>28</v>
      </c>
      <c r="B129" t="s">
        <v>113</v>
      </c>
      <c r="C129">
        <v>85.833333333333329</v>
      </c>
      <c r="D129">
        <v>83.620689655172413</v>
      </c>
      <c r="E129">
        <v>16</v>
      </c>
      <c r="F129">
        <v>20</v>
      </c>
      <c r="G129">
        <v>103</v>
      </c>
      <c r="H129">
        <v>97</v>
      </c>
      <c r="I129">
        <v>136</v>
      </c>
      <c r="J129">
        <v>136</v>
      </c>
      <c r="K129">
        <v>11.76470588235294</v>
      </c>
      <c r="L129">
        <v>14.705882352941178</v>
      </c>
      <c r="M129">
        <v>0.48455339805824899</v>
      </c>
      <c r="N129">
        <v>0.47910309278351443</v>
      </c>
      <c r="O129" t="str">
        <f>_xlfn.XLOOKUP(S129, AnglePowerMatching!$H:$H, AnglePowerMatching!$C:$C, "NaN")</f>
        <v>NaN</v>
      </c>
      <c r="P129" t="str">
        <f>_xlfn.XLOOKUP(S129, AnglePowerMatching!$H:$H, AnglePowerMatching!$D:$D, "NaN")</f>
        <v>NaN</v>
      </c>
      <c r="Q129" t="b">
        <f t="shared" si="3"/>
        <v>1</v>
      </c>
      <c r="R129">
        <f>VALUE(_xlfn.TEXTBEFORE(A129, {"L","R"}, , , , A129))</f>
        <v>948</v>
      </c>
      <c r="S129" t="str">
        <f t="shared" si="2"/>
        <v>94820250819</v>
      </c>
    </row>
    <row r="130" spans="1:19" x14ac:dyDescent="0.3">
      <c r="A130" t="s">
        <v>28</v>
      </c>
      <c r="B130" t="s">
        <v>114</v>
      </c>
      <c r="C130">
        <v>82.926829268292678</v>
      </c>
      <c r="D130">
        <v>81.147540983606561</v>
      </c>
      <c r="E130">
        <v>0</v>
      </c>
      <c r="F130">
        <v>1</v>
      </c>
      <c r="G130">
        <v>102</v>
      </c>
      <c r="H130">
        <v>99</v>
      </c>
      <c r="I130">
        <v>123</v>
      </c>
      <c r="J130">
        <v>123</v>
      </c>
      <c r="K130">
        <v>0</v>
      </c>
      <c r="L130">
        <v>0.81300813008130091</v>
      </c>
      <c r="M130">
        <v>0.30909803921569379</v>
      </c>
      <c r="N130">
        <v>0.29237373737373762</v>
      </c>
      <c r="O130">
        <f>_xlfn.XLOOKUP(S130, AnglePowerMatching!$H:$H, AnglePowerMatching!$C:$C, "NaN")</f>
        <v>16</v>
      </c>
      <c r="P130">
        <f>_xlfn.XLOOKUP(S130, AnglePowerMatching!$H:$H, AnglePowerMatching!$D:$D, "NaN")</f>
        <v>3</v>
      </c>
      <c r="Q130" t="b">
        <f t="shared" si="3"/>
        <v>1</v>
      </c>
      <c r="R130">
        <f>VALUE(_xlfn.TEXTBEFORE(A130, {"L","R"}, , , , A130))</f>
        <v>948</v>
      </c>
      <c r="S130" t="str">
        <f t="shared" ref="S130:S193" si="4">R130 &amp; TEXT(B130, "yyyymmdd")</f>
        <v>94820250820</v>
      </c>
    </row>
    <row r="131" spans="1:19" x14ac:dyDescent="0.3">
      <c r="A131" t="s">
        <v>28</v>
      </c>
      <c r="B131" t="s">
        <v>115</v>
      </c>
      <c r="C131">
        <v>72.932330827067673</v>
      </c>
      <c r="D131">
        <v>76.153846153846146</v>
      </c>
      <c r="E131">
        <v>0</v>
      </c>
      <c r="F131">
        <v>2</v>
      </c>
      <c r="G131">
        <v>97</v>
      </c>
      <c r="H131">
        <v>99</v>
      </c>
      <c r="I131">
        <v>133</v>
      </c>
      <c r="J131">
        <v>132</v>
      </c>
      <c r="K131">
        <v>0</v>
      </c>
      <c r="L131">
        <v>1.5151515151515151</v>
      </c>
      <c r="M131">
        <v>0.27123711340205942</v>
      </c>
      <c r="N131">
        <v>0.27539393939393553</v>
      </c>
      <c r="O131">
        <f>_xlfn.XLOOKUP(S131, AnglePowerMatching!$H:$H, AnglePowerMatching!$C:$C, "NaN")</f>
        <v>16</v>
      </c>
      <c r="P131">
        <f>_xlfn.XLOOKUP(S131, AnglePowerMatching!$H:$H, AnglePowerMatching!$D:$D, "NaN")</f>
        <v>5</v>
      </c>
      <c r="Q131" t="b">
        <f t="shared" ref="Q131:Q194" si="5">NOT(OR(C131=0,D131=0))</f>
        <v>1</v>
      </c>
      <c r="R131">
        <f>VALUE(_xlfn.TEXTBEFORE(A131, {"L","R"}, , , , A131))</f>
        <v>948</v>
      </c>
      <c r="S131" t="str">
        <f t="shared" si="4"/>
        <v>94820250821</v>
      </c>
    </row>
    <row r="132" spans="1:19" x14ac:dyDescent="0.3">
      <c r="A132" t="s">
        <v>28</v>
      </c>
      <c r="B132" t="s">
        <v>116</v>
      </c>
      <c r="C132">
        <v>50</v>
      </c>
      <c r="D132">
        <v>66.666666666666657</v>
      </c>
      <c r="E132">
        <v>0</v>
      </c>
      <c r="F132">
        <v>0</v>
      </c>
      <c r="G132">
        <v>1</v>
      </c>
      <c r="H132">
        <v>2</v>
      </c>
      <c r="I132">
        <v>2</v>
      </c>
      <c r="J132">
        <v>3</v>
      </c>
      <c r="K132">
        <v>0</v>
      </c>
      <c r="L132">
        <v>0</v>
      </c>
      <c r="M132">
        <v>0.30699999999999861</v>
      </c>
      <c r="N132">
        <v>0.39049999999999718</v>
      </c>
      <c r="O132">
        <f>_xlfn.XLOOKUP(S132, AnglePowerMatching!$H:$H, AnglePowerMatching!$C:$C, "NaN")</f>
        <v>16</v>
      </c>
      <c r="P132">
        <f>_xlfn.XLOOKUP(S132, AnglePowerMatching!$H:$H, AnglePowerMatching!$D:$D, "NaN")</f>
        <v>10</v>
      </c>
      <c r="Q132" t="b">
        <f t="shared" si="5"/>
        <v>1</v>
      </c>
      <c r="R132">
        <f>VALUE(_xlfn.TEXTBEFORE(A132, {"L","R"}, , , , A132))</f>
        <v>948</v>
      </c>
      <c r="S132" t="str">
        <f t="shared" si="4"/>
        <v>94820250822</v>
      </c>
    </row>
    <row r="133" spans="1:19" x14ac:dyDescent="0.3">
      <c r="A133" t="s">
        <v>28</v>
      </c>
      <c r="B133" t="s">
        <v>116</v>
      </c>
      <c r="C133">
        <v>79.824561403508781</v>
      </c>
      <c r="D133">
        <v>86.08695652173914</v>
      </c>
      <c r="E133">
        <v>8</v>
      </c>
      <c r="F133">
        <v>9</v>
      </c>
      <c r="G133">
        <v>91</v>
      </c>
      <c r="H133">
        <v>99</v>
      </c>
      <c r="I133">
        <v>122</v>
      </c>
      <c r="J133">
        <v>124</v>
      </c>
      <c r="K133">
        <v>6.557377049180328</v>
      </c>
      <c r="L133">
        <v>7.2580645161290329</v>
      </c>
      <c r="M133">
        <v>0.44837362637364064</v>
      </c>
      <c r="N133">
        <v>0.45308080808080958</v>
      </c>
      <c r="O133">
        <f>_xlfn.XLOOKUP(S133, AnglePowerMatching!$H:$H, AnglePowerMatching!$C:$C, "NaN")</f>
        <v>16</v>
      </c>
      <c r="P133">
        <f>_xlfn.XLOOKUP(S133, AnglePowerMatching!$H:$H, AnglePowerMatching!$D:$D, "NaN")</f>
        <v>10</v>
      </c>
      <c r="Q133" t="b">
        <f t="shared" si="5"/>
        <v>1</v>
      </c>
      <c r="R133">
        <f>VALUE(_xlfn.TEXTBEFORE(A133, {"L","R"}, , , , A133))</f>
        <v>948</v>
      </c>
      <c r="S133" t="str">
        <f t="shared" si="4"/>
        <v>94820250822</v>
      </c>
    </row>
    <row r="134" spans="1:19" x14ac:dyDescent="0.3">
      <c r="A134" t="s">
        <v>28</v>
      </c>
      <c r="B134" t="s">
        <v>117</v>
      </c>
      <c r="C134">
        <v>71.794871794871796</v>
      </c>
      <c r="D134">
        <v>61.666666666666671</v>
      </c>
      <c r="E134">
        <v>3</v>
      </c>
      <c r="F134">
        <v>0</v>
      </c>
      <c r="G134">
        <v>84</v>
      </c>
      <c r="H134">
        <v>74</v>
      </c>
      <c r="I134">
        <v>120</v>
      </c>
      <c r="J134">
        <v>120</v>
      </c>
      <c r="K134">
        <v>2.5</v>
      </c>
      <c r="L134">
        <v>0</v>
      </c>
      <c r="M134">
        <v>0.39688095238095289</v>
      </c>
      <c r="N134">
        <v>0.41227027027027341</v>
      </c>
      <c r="O134">
        <f>_xlfn.XLOOKUP(S134, AnglePowerMatching!$H:$H, AnglePowerMatching!$C:$C, "NaN")</f>
        <v>8.6999999999999993</v>
      </c>
      <c r="P134">
        <f>_xlfn.XLOOKUP(S134, AnglePowerMatching!$H:$H, AnglePowerMatching!$D:$D, "NaN")</f>
        <v>3</v>
      </c>
      <c r="Q134" t="b">
        <f t="shared" si="5"/>
        <v>1</v>
      </c>
      <c r="R134">
        <f>VALUE(_xlfn.TEXTBEFORE(A134, {"L","R"}, , , , A134))</f>
        <v>948</v>
      </c>
      <c r="S134" t="str">
        <f t="shared" si="4"/>
        <v>94820250827</v>
      </c>
    </row>
    <row r="135" spans="1:19" x14ac:dyDescent="0.3">
      <c r="A135" t="s">
        <v>28</v>
      </c>
      <c r="B135" t="s">
        <v>118</v>
      </c>
      <c r="C135">
        <v>65.546218487394952</v>
      </c>
      <c r="D135">
        <v>54.166666666666664</v>
      </c>
      <c r="E135">
        <v>1</v>
      </c>
      <c r="F135">
        <v>0</v>
      </c>
      <c r="G135">
        <v>78</v>
      </c>
      <c r="H135">
        <v>65</v>
      </c>
      <c r="I135">
        <v>120</v>
      </c>
      <c r="J135">
        <v>120</v>
      </c>
      <c r="K135">
        <v>0.83333333333333337</v>
      </c>
      <c r="L135">
        <v>0</v>
      </c>
      <c r="M135">
        <v>0.26976923076923148</v>
      </c>
      <c r="N135">
        <v>0.25603076923075219</v>
      </c>
      <c r="O135">
        <f>_xlfn.XLOOKUP(S135, AnglePowerMatching!$H:$H, AnglePowerMatching!$C:$C, "NaN")</f>
        <v>8.6999999999999993</v>
      </c>
      <c r="P135">
        <f>_xlfn.XLOOKUP(S135, AnglePowerMatching!$H:$H, AnglePowerMatching!$D:$D, "NaN")</f>
        <v>5</v>
      </c>
      <c r="Q135" t="b">
        <f t="shared" si="5"/>
        <v>1</v>
      </c>
      <c r="R135">
        <f>VALUE(_xlfn.TEXTBEFORE(A135, {"L","R"}, , , , A135))</f>
        <v>948</v>
      </c>
      <c r="S135" t="str">
        <f t="shared" si="4"/>
        <v>94820250828</v>
      </c>
    </row>
    <row r="136" spans="1:19" x14ac:dyDescent="0.3">
      <c r="A136" t="s">
        <v>2</v>
      </c>
      <c r="B136" t="s">
        <v>119</v>
      </c>
      <c r="C136">
        <v>82.258064516129039</v>
      </c>
      <c r="D136">
        <v>71.186440677966104</v>
      </c>
      <c r="E136">
        <v>61</v>
      </c>
      <c r="F136">
        <v>64</v>
      </c>
      <c r="G136">
        <v>51</v>
      </c>
      <c r="H136">
        <v>42</v>
      </c>
      <c r="I136">
        <v>123</v>
      </c>
      <c r="J136">
        <v>123</v>
      </c>
      <c r="K136">
        <v>49.59349593495935</v>
      </c>
      <c r="L136">
        <v>52.032520325203258</v>
      </c>
      <c r="M136">
        <v>0.54680392156862667</v>
      </c>
      <c r="N136">
        <v>0.46378571428571691</v>
      </c>
      <c r="O136" t="str">
        <f>_xlfn.XLOOKUP(S136, AnglePowerMatching!$H:$H, AnglePowerMatching!$C:$C, "NaN")</f>
        <v>NaN</v>
      </c>
      <c r="P136" t="str">
        <f>_xlfn.XLOOKUP(S136, AnglePowerMatching!$H:$H, AnglePowerMatching!$D:$D, "NaN")</f>
        <v>NaN</v>
      </c>
      <c r="Q136" t="b">
        <f t="shared" si="5"/>
        <v>1</v>
      </c>
      <c r="R136">
        <f>VALUE(_xlfn.TEXTBEFORE(A136, {"L","R"}, , , , A136))</f>
        <v>949</v>
      </c>
      <c r="S136" t="str">
        <f t="shared" si="4"/>
        <v>94920250921</v>
      </c>
    </row>
    <row r="137" spans="1:19" x14ac:dyDescent="0.3">
      <c r="A137" t="s">
        <v>2</v>
      </c>
      <c r="B137" t="s">
        <v>120</v>
      </c>
      <c r="C137">
        <v>62.711864406779661</v>
      </c>
      <c r="D137">
        <v>61.864406779661017</v>
      </c>
      <c r="E137">
        <v>2</v>
      </c>
      <c r="F137">
        <v>2</v>
      </c>
      <c r="G137">
        <v>74</v>
      </c>
      <c r="H137">
        <v>73</v>
      </c>
      <c r="I137">
        <v>120</v>
      </c>
      <c r="J137">
        <v>120</v>
      </c>
      <c r="K137">
        <v>1.6666666666666667</v>
      </c>
      <c r="L137">
        <v>1.6666666666666667</v>
      </c>
      <c r="M137">
        <v>0.36732432432432077</v>
      </c>
      <c r="N137">
        <v>0.41623287671233233</v>
      </c>
      <c r="O137">
        <f>_xlfn.XLOOKUP(S137, AnglePowerMatching!$H:$H, AnglePowerMatching!$C:$C, "NaN")</f>
        <v>66</v>
      </c>
      <c r="P137">
        <f>_xlfn.XLOOKUP(S137, AnglePowerMatching!$H:$H, AnglePowerMatching!$D:$D, "NaN")</f>
        <v>10</v>
      </c>
      <c r="Q137" t="b">
        <f t="shared" si="5"/>
        <v>1</v>
      </c>
      <c r="R137">
        <f>VALUE(_xlfn.TEXTBEFORE(A137, {"L","R"}, , , , A137))</f>
        <v>949</v>
      </c>
      <c r="S137" t="str">
        <f t="shared" si="4"/>
        <v>94920250923</v>
      </c>
    </row>
    <row r="138" spans="1:19" x14ac:dyDescent="0.3">
      <c r="A138" t="s">
        <v>2</v>
      </c>
      <c r="B138" t="s">
        <v>146</v>
      </c>
      <c r="C138">
        <v>71.428571428571431</v>
      </c>
      <c r="D138">
        <v>71.666666666666671</v>
      </c>
      <c r="E138">
        <v>1</v>
      </c>
      <c r="F138">
        <v>0</v>
      </c>
      <c r="G138">
        <v>85</v>
      </c>
      <c r="H138">
        <v>86</v>
      </c>
      <c r="I138">
        <v>120</v>
      </c>
      <c r="J138">
        <v>120</v>
      </c>
      <c r="K138">
        <v>0.83333333333333337</v>
      </c>
      <c r="L138">
        <v>0</v>
      </c>
      <c r="M138">
        <v>0.44888235294117512</v>
      </c>
      <c r="N138">
        <v>0.4453023255813911</v>
      </c>
      <c r="O138">
        <f>_xlfn.XLOOKUP(S138, AnglePowerMatching!$H:$H, AnglePowerMatching!$C:$C, "NaN")</f>
        <v>90</v>
      </c>
      <c r="P138">
        <f>_xlfn.XLOOKUP(S138, AnglePowerMatching!$H:$H, AnglePowerMatching!$D:$D, "NaN")</f>
        <v>3</v>
      </c>
      <c r="Q138" t="b">
        <f t="shared" si="5"/>
        <v>1</v>
      </c>
      <c r="R138">
        <f>VALUE(_xlfn.TEXTBEFORE(A138, {"L","R"}, , , , A138))</f>
        <v>949</v>
      </c>
      <c r="S138" t="str">
        <f t="shared" si="4"/>
        <v>94920250928</v>
      </c>
    </row>
    <row r="139" spans="1:19" x14ac:dyDescent="0.3">
      <c r="A139" t="s">
        <v>2</v>
      </c>
      <c r="B139" t="s">
        <v>147</v>
      </c>
      <c r="C139">
        <v>60</v>
      </c>
      <c r="D139">
        <v>65</v>
      </c>
      <c r="E139">
        <v>0</v>
      </c>
      <c r="F139">
        <v>0</v>
      </c>
      <c r="G139">
        <v>72</v>
      </c>
      <c r="H139">
        <v>78</v>
      </c>
      <c r="I139">
        <v>120</v>
      </c>
      <c r="J139">
        <v>120</v>
      </c>
      <c r="K139">
        <v>0</v>
      </c>
      <c r="L139">
        <v>0</v>
      </c>
      <c r="M139">
        <v>0.3481111111111117</v>
      </c>
      <c r="N139">
        <v>0.34829487179488022</v>
      </c>
      <c r="O139">
        <f>_xlfn.XLOOKUP(S139, AnglePowerMatching!$H:$H, AnglePowerMatching!$C:$C, "NaN")</f>
        <v>90</v>
      </c>
      <c r="P139">
        <f>_xlfn.XLOOKUP(S139, AnglePowerMatching!$H:$H, AnglePowerMatching!$D:$D, "NaN")</f>
        <v>5</v>
      </c>
      <c r="Q139" t="b">
        <f t="shared" si="5"/>
        <v>1</v>
      </c>
      <c r="R139">
        <f>VALUE(_xlfn.TEXTBEFORE(A139, {"L","R"}, , , , A139))</f>
        <v>949</v>
      </c>
      <c r="S139" t="str">
        <f t="shared" si="4"/>
        <v>94920250929</v>
      </c>
    </row>
    <row r="140" spans="1:19" x14ac:dyDescent="0.3">
      <c r="A140" t="s">
        <v>2</v>
      </c>
      <c r="B140" t="s">
        <v>148</v>
      </c>
      <c r="C140">
        <v>60.377358490566039</v>
      </c>
      <c r="D140">
        <v>66.666666666666657</v>
      </c>
      <c r="E140">
        <v>14</v>
      </c>
      <c r="F140">
        <v>21</v>
      </c>
      <c r="G140">
        <v>64</v>
      </c>
      <c r="H140">
        <v>66</v>
      </c>
      <c r="I140">
        <v>120</v>
      </c>
      <c r="J140">
        <v>120</v>
      </c>
      <c r="K140">
        <v>11.666666666666666</v>
      </c>
      <c r="L140">
        <v>17.5</v>
      </c>
      <c r="M140">
        <v>0.4577187499999999</v>
      </c>
      <c r="N140">
        <v>0.40080303030304382</v>
      </c>
      <c r="O140">
        <f>_xlfn.XLOOKUP(S140, AnglePowerMatching!$H:$H, AnglePowerMatching!$C:$C, "NaN")</f>
        <v>90</v>
      </c>
      <c r="P140">
        <f>_xlfn.XLOOKUP(S140, AnglePowerMatching!$H:$H, AnglePowerMatching!$D:$D, "NaN")</f>
        <v>10</v>
      </c>
      <c r="Q140" t="b">
        <f t="shared" si="5"/>
        <v>1</v>
      </c>
      <c r="R140">
        <f>VALUE(_xlfn.TEXTBEFORE(A140, {"L","R"}, , , , A140))</f>
        <v>949</v>
      </c>
      <c r="S140" t="str">
        <f t="shared" si="4"/>
        <v>94920250930</v>
      </c>
    </row>
    <row r="141" spans="1:19" x14ac:dyDescent="0.3">
      <c r="A141" t="s">
        <v>2</v>
      </c>
      <c r="B141" t="s">
        <v>149</v>
      </c>
      <c r="C141">
        <v>68.103448275862064</v>
      </c>
      <c r="D141">
        <v>71.05263157894737</v>
      </c>
      <c r="E141">
        <v>4</v>
      </c>
      <c r="F141">
        <v>6</v>
      </c>
      <c r="G141">
        <v>79</v>
      </c>
      <c r="H141">
        <v>81</v>
      </c>
      <c r="I141">
        <v>120</v>
      </c>
      <c r="J141">
        <v>120</v>
      </c>
      <c r="K141">
        <v>3.3333333333333335</v>
      </c>
      <c r="L141">
        <v>5</v>
      </c>
      <c r="M141">
        <v>0.38693670886077136</v>
      </c>
      <c r="N141">
        <v>0.37046913580247542</v>
      </c>
      <c r="O141">
        <f>_xlfn.XLOOKUP(S141, AnglePowerMatching!$H:$H, AnglePowerMatching!$C:$C, "NaN")</f>
        <v>35</v>
      </c>
      <c r="P141">
        <f>_xlfn.XLOOKUP(S141, AnglePowerMatching!$H:$H, AnglePowerMatching!$D:$D, "NaN")</f>
        <v>3</v>
      </c>
      <c r="Q141" t="b">
        <f t="shared" si="5"/>
        <v>1</v>
      </c>
      <c r="R141">
        <f>VALUE(_xlfn.TEXTBEFORE(A141, {"L","R"}, , , , A141))</f>
        <v>949</v>
      </c>
      <c r="S141" t="str">
        <f t="shared" si="4"/>
        <v>94920251007</v>
      </c>
    </row>
    <row r="142" spans="1:19" x14ac:dyDescent="0.3">
      <c r="A142" t="s">
        <v>2</v>
      </c>
      <c r="B142" t="s">
        <v>150</v>
      </c>
      <c r="C142">
        <v>66.326530612244895</v>
      </c>
      <c r="D142">
        <v>72.277227722772281</v>
      </c>
      <c r="E142">
        <v>22</v>
      </c>
      <c r="F142">
        <v>19</v>
      </c>
      <c r="G142">
        <v>65</v>
      </c>
      <c r="H142">
        <v>73</v>
      </c>
      <c r="I142">
        <v>120</v>
      </c>
      <c r="J142">
        <v>120</v>
      </c>
      <c r="K142">
        <v>18.333333333333332</v>
      </c>
      <c r="L142">
        <v>15.833333333333332</v>
      </c>
      <c r="M142">
        <v>0.27530769230769969</v>
      </c>
      <c r="N142">
        <v>0.32173972602739653</v>
      </c>
      <c r="O142">
        <f>_xlfn.XLOOKUP(S142, AnglePowerMatching!$H:$H, AnglePowerMatching!$C:$C, "NaN")</f>
        <v>35</v>
      </c>
      <c r="P142">
        <f>_xlfn.XLOOKUP(S142, AnglePowerMatching!$H:$H, AnglePowerMatching!$D:$D, "NaN")</f>
        <v>5</v>
      </c>
      <c r="Q142" t="b">
        <f t="shared" si="5"/>
        <v>1</v>
      </c>
      <c r="R142">
        <f>VALUE(_xlfn.TEXTBEFORE(A142, {"L","R"}, , , , A142))</f>
        <v>949</v>
      </c>
      <c r="S142" t="str">
        <f t="shared" si="4"/>
        <v>94920251009</v>
      </c>
    </row>
    <row r="143" spans="1:19" x14ac:dyDescent="0.3">
      <c r="A143" t="s">
        <v>2</v>
      </c>
      <c r="B143" t="s">
        <v>62</v>
      </c>
      <c r="C143">
        <v>67.768595041322314</v>
      </c>
      <c r="D143">
        <v>71.666666666666671</v>
      </c>
      <c r="E143">
        <v>0</v>
      </c>
      <c r="F143">
        <v>0</v>
      </c>
      <c r="G143">
        <v>82</v>
      </c>
      <c r="H143">
        <v>86</v>
      </c>
      <c r="I143">
        <v>121</v>
      </c>
      <c r="J143">
        <v>120</v>
      </c>
      <c r="K143">
        <v>0</v>
      </c>
      <c r="L143">
        <v>0</v>
      </c>
      <c r="M143">
        <v>0.37607317073170271</v>
      </c>
      <c r="N143">
        <v>0.37939534883720938</v>
      </c>
      <c r="O143">
        <f>_xlfn.XLOOKUP(S143, AnglePowerMatching!$H:$H, AnglePowerMatching!$C:$C, "NaN")</f>
        <v>26</v>
      </c>
      <c r="P143">
        <f>_xlfn.XLOOKUP(S143, AnglePowerMatching!$H:$H, AnglePowerMatching!$D:$D, "NaN")</f>
        <v>3</v>
      </c>
      <c r="Q143" t="b">
        <f t="shared" si="5"/>
        <v>1</v>
      </c>
      <c r="R143">
        <f>VALUE(_xlfn.TEXTBEFORE(A143, {"L","R"}, , , , A143))</f>
        <v>949</v>
      </c>
      <c r="S143" t="str">
        <f t="shared" si="4"/>
        <v>94920251017</v>
      </c>
    </row>
    <row r="144" spans="1:19" x14ac:dyDescent="0.3">
      <c r="A144" t="s">
        <v>2</v>
      </c>
      <c r="B144" t="s">
        <v>63</v>
      </c>
      <c r="C144">
        <v>66.037735849056602</v>
      </c>
      <c r="D144">
        <v>58.715596330275233</v>
      </c>
      <c r="E144">
        <v>14</v>
      </c>
      <c r="F144">
        <v>11</v>
      </c>
      <c r="G144">
        <v>70</v>
      </c>
      <c r="H144">
        <v>64</v>
      </c>
      <c r="I144">
        <v>120</v>
      </c>
      <c r="J144">
        <v>120</v>
      </c>
      <c r="K144">
        <v>11.666666666666666</v>
      </c>
      <c r="L144">
        <v>9.1666666666666661</v>
      </c>
      <c r="M144">
        <v>0.33461428571427748</v>
      </c>
      <c r="N144">
        <v>0.31685937500000633</v>
      </c>
      <c r="O144">
        <f>_xlfn.XLOOKUP(S144, AnglePowerMatching!$H:$H, AnglePowerMatching!$C:$C, "NaN")</f>
        <v>26</v>
      </c>
      <c r="P144">
        <f>_xlfn.XLOOKUP(S144, AnglePowerMatching!$H:$H, AnglePowerMatching!$D:$D, "NaN")</f>
        <v>5</v>
      </c>
      <c r="Q144" t="b">
        <f t="shared" si="5"/>
        <v>1</v>
      </c>
      <c r="R144">
        <f>VALUE(_xlfn.TEXTBEFORE(A144, {"L","R"}, , , , A144))</f>
        <v>949</v>
      </c>
      <c r="S144" t="str">
        <f t="shared" si="4"/>
        <v>94920251018</v>
      </c>
    </row>
    <row r="145" spans="1:19" x14ac:dyDescent="0.3">
      <c r="A145" t="s">
        <v>2</v>
      </c>
      <c r="B145" t="s">
        <v>64</v>
      </c>
      <c r="C145">
        <v>60.526315789473685</v>
      </c>
      <c r="D145">
        <v>63.095238095238095</v>
      </c>
      <c r="E145">
        <v>44</v>
      </c>
      <c r="F145">
        <v>36</v>
      </c>
      <c r="G145">
        <v>46</v>
      </c>
      <c r="H145">
        <v>53</v>
      </c>
      <c r="I145">
        <v>120</v>
      </c>
      <c r="J145">
        <v>120</v>
      </c>
      <c r="K145">
        <v>36.666666666666664</v>
      </c>
      <c r="L145">
        <v>30</v>
      </c>
      <c r="M145">
        <v>0.36330434782609411</v>
      </c>
      <c r="N145">
        <v>0.37439622641508019</v>
      </c>
      <c r="O145">
        <f>_xlfn.XLOOKUP(S145, AnglePowerMatching!$H:$H, AnglePowerMatching!$C:$C, "NaN")</f>
        <v>16</v>
      </c>
      <c r="P145">
        <f>_xlfn.XLOOKUP(S145, AnglePowerMatching!$H:$H, AnglePowerMatching!$D:$D, "NaN")</f>
        <v>3</v>
      </c>
      <c r="Q145" t="b">
        <f t="shared" si="5"/>
        <v>1</v>
      </c>
      <c r="R145">
        <f>VALUE(_xlfn.TEXTBEFORE(A145, {"L","R"}, , , , A145))</f>
        <v>949</v>
      </c>
      <c r="S145" t="str">
        <f t="shared" si="4"/>
        <v>94920251025</v>
      </c>
    </row>
    <row r="146" spans="1:19" x14ac:dyDescent="0.3">
      <c r="A146" t="s">
        <v>2</v>
      </c>
      <c r="B146" t="s">
        <v>65</v>
      </c>
      <c r="C146">
        <v>56.666666666666664</v>
      </c>
      <c r="D146">
        <v>47.5</v>
      </c>
      <c r="E146">
        <v>0</v>
      </c>
      <c r="F146">
        <v>0</v>
      </c>
      <c r="G146">
        <v>68</v>
      </c>
      <c r="H146">
        <v>57</v>
      </c>
      <c r="I146">
        <v>120</v>
      </c>
      <c r="J146">
        <v>120</v>
      </c>
      <c r="K146">
        <v>0</v>
      </c>
      <c r="L146">
        <v>0</v>
      </c>
      <c r="M146">
        <v>0.17680882352942023</v>
      </c>
      <c r="N146">
        <v>0.20159649122807055</v>
      </c>
      <c r="O146">
        <f>_xlfn.XLOOKUP(S146, AnglePowerMatching!$H:$H, AnglePowerMatching!$C:$C, "NaN")</f>
        <v>16</v>
      </c>
      <c r="P146">
        <f>_xlfn.XLOOKUP(S146, AnglePowerMatching!$H:$H, AnglePowerMatching!$D:$D, "NaN")</f>
        <v>5</v>
      </c>
      <c r="Q146" t="b">
        <f t="shared" si="5"/>
        <v>1</v>
      </c>
      <c r="R146">
        <f>VALUE(_xlfn.TEXTBEFORE(A146, {"L","R"}, , , , A146))</f>
        <v>949</v>
      </c>
      <c r="S146" t="str">
        <f t="shared" si="4"/>
        <v>94920251026</v>
      </c>
    </row>
    <row r="147" spans="1:19" x14ac:dyDescent="0.3">
      <c r="A147" t="s">
        <v>2</v>
      </c>
      <c r="B147" t="s">
        <v>66</v>
      </c>
      <c r="C147">
        <v>64.912280701754383</v>
      </c>
      <c r="D147">
        <v>70.535714285714292</v>
      </c>
      <c r="E147">
        <v>6</v>
      </c>
      <c r="F147">
        <v>8</v>
      </c>
      <c r="G147">
        <v>74</v>
      </c>
      <c r="H147">
        <v>79</v>
      </c>
      <c r="I147">
        <v>120</v>
      </c>
      <c r="J147">
        <v>120</v>
      </c>
      <c r="K147">
        <v>5</v>
      </c>
      <c r="L147">
        <v>6.666666666666667</v>
      </c>
      <c r="M147">
        <v>2.4707567567567708</v>
      </c>
      <c r="N147">
        <v>0.71715189873416929</v>
      </c>
      <c r="O147">
        <f>_xlfn.XLOOKUP(S147, AnglePowerMatching!$H:$H, AnglePowerMatching!$C:$C, "NaN")</f>
        <v>16</v>
      </c>
      <c r="P147">
        <f>_xlfn.XLOOKUP(S147, AnglePowerMatching!$H:$H, AnglePowerMatching!$D:$D, "NaN")</f>
        <v>40</v>
      </c>
      <c r="Q147" t="b">
        <f t="shared" si="5"/>
        <v>1</v>
      </c>
      <c r="R147">
        <f>VALUE(_xlfn.TEXTBEFORE(A147, {"L","R"}, , , , A147))</f>
        <v>949</v>
      </c>
      <c r="S147" t="str">
        <f t="shared" si="4"/>
        <v>94920251027</v>
      </c>
    </row>
    <row r="148" spans="1:19" x14ac:dyDescent="0.3">
      <c r="A148" t="s">
        <v>2</v>
      </c>
      <c r="B148" t="s">
        <v>70</v>
      </c>
      <c r="C148">
        <v>43.333333333333336</v>
      </c>
      <c r="D148">
        <v>57.627118644067799</v>
      </c>
      <c r="E148">
        <v>0</v>
      </c>
      <c r="F148">
        <v>2</v>
      </c>
      <c r="G148">
        <v>52</v>
      </c>
      <c r="H148">
        <v>68</v>
      </c>
      <c r="I148">
        <v>120</v>
      </c>
      <c r="J148">
        <v>120</v>
      </c>
      <c r="K148">
        <v>0</v>
      </c>
      <c r="L148">
        <v>1.6666666666666667</v>
      </c>
      <c r="M148">
        <v>0.29963461538463798</v>
      </c>
      <c r="N148">
        <v>0.27985294117646831</v>
      </c>
      <c r="O148">
        <f>_xlfn.XLOOKUP(S148, AnglePowerMatching!$H:$H, AnglePowerMatching!$C:$C, "NaN")</f>
        <v>8.6999999999999993</v>
      </c>
      <c r="P148">
        <f>_xlfn.XLOOKUP(S148, AnglePowerMatching!$H:$H, AnglePowerMatching!$D:$D, "NaN")</f>
        <v>3</v>
      </c>
      <c r="Q148" t="b">
        <f t="shared" si="5"/>
        <v>1</v>
      </c>
      <c r="R148">
        <f>VALUE(_xlfn.TEXTBEFORE(A148, {"L","R"}, , , , A148))</f>
        <v>949</v>
      </c>
      <c r="S148" t="str">
        <f t="shared" si="4"/>
        <v>94920251105</v>
      </c>
    </row>
    <row r="149" spans="1:19" x14ac:dyDescent="0.3">
      <c r="A149" t="s">
        <v>2</v>
      </c>
      <c r="B149" t="s">
        <v>83</v>
      </c>
      <c r="C149">
        <v>65.546218487394952</v>
      </c>
      <c r="D149">
        <v>63.865546218487388</v>
      </c>
      <c r="E149">
        <v>1</v>
      </c>
      <c r="F149">
        <v>1</v>
      </c>
      <c r="G149">
        <v>78</v>
      </c>
      <c r="H149">
        <v>76</v>
      </c>
      <c r="I149">
        <v>120</v>
      </c>
      <c r="J149">
        <v>120</v>
      </c>
      <c r="K149">
        <v>0.83333333333333337</v>
      </c>
      <c r="L149">
        <v>0.83333333333333337</v>
      </c>
      <c r="M149">
        <v>0.49816666666666759</v>
      </c>
      <c r="N149">
        <v>0.49356578947368451</v>
      </c>
      <c r="O149">
        <f>_xlfn.XLOOKUP(S149, AnglePowerMatching!$H:$H, AnglePowerMatching!$C:$C, "NaN")</f>
        <v>8.6999999999999993</v>
      </c>
      <c r="P149">
        <f>_xlfn.XLOOKUP(S149, AnglePowerMatching!$H:$H, AnglePowerMatching!$D:$D, "NaN")</f>
        <v>5</v>
      </c>
      <c r="Q149" t="b">
        <f t="shared" si="5"/>
        <v>1</v>
      </c>
      <c r="R149">
        <f>VALUE(_xlfn.TEXTBEFORE(A149, {"L","R"}, , , , A149))</f>
        <v>949</v>
      </c>
      <c r="S149" t="str">
        <f t="shared" si="4"/>
        <v>94920251107</v>
      </c>
    </row>
    <row r="150" spans="1:19" x14ac:dyDescent="0.3">
      <c r="A150" t="s">
        <v>2</v>
      </c>
      <c r="B150" t="s">
        <v>84</v>
      </c>
      <c r="C150">
        <v>68.807339449541288</v>
      </c>
      <c r="D150">
        <v>69.158878504672899</v>
      </c>
      <c r="E150">
        <v>11</v>
      </c>
      <c r="F150">
        <v>13</v>
      </c>
      <c r="G150">
        <v>75</v>
      </c>
      <c r="H150">
        <v>74</v>
      </c>
      <c r="I150">
        <v>120</v>
      </c>
      <c r="J150">
        <v>120</v>
      </c>
      <c r="K150">
        <v>9.1666666666666661</v>
      </c>
      <c r="L150">
        <v>10.833333333333334</v>
      </c>
      <c r="M150">
        <v>0.41725333333333481</v>
      </c>
      <c r="N150">
        <v>0.44547297297297916</v>
      </c>
      <c r="O150">
        <f>_xlfn.XLOOKUP(S150, AnglePowerMatching!$H:$H, AnglePowerMatching!$C:$C, "NaN")</f>
        <v>8.6999999999999993</v>
      </c>
      <c r="P150">
        <f>_xlfn.XLOOKUP(S150, AnglePowerMatching!$H:$H, AnglePowerMatching!$D:$D, "NaN")</f>
        <v>10</v>
      </c>
      <c r="Q150" t="b">
        <f t="shared" si="5"/>
        <v>1</v>
      </c>
      <c r="R150">
        <f>VALUE(_xlfn.TEXTBEFORE(A150, {"L","R"}, , , , A150))</f>
        <v>949</v>
      </c>
      <c r="S150" t="str">
        <f t="shared" si="4"/>
        <v>94920251108</v>
      </c>
    </row>
    <row r="151" spans="1:19" x14ac:dyDescent="0.3">
      <c r="A151" t="s">
        <v>2</v>
      </c>
      <c r="B151" t="s">
        <v>144</v>
      </c>
      <c r="C151">
        <v>67.241379310344826</v>
      </c>
      <c r="D151">
        <v>71.304347826086953</v>
      </c>
      <c r="E151">
        <v>4</v>
      </c>
      <c r="F151">
        <v>5</v>
      </c>
      <c r="G151">
        <v>78</v>
      </c>
      <c r="H151">
        <v>82</v>
      </c>
      <c r="I151">
        <v>120</v>
      </c>
      <c r="J151">
        <v>120</v>
      </c>
      <c r="K151">
        <v>3.3333333333333335</v>
      </c>
      <c r="L151">
        <v>4.1666666666666661</v>
      </c>
      <c r="M151">
        <v>0.39625641025640768</v>
      </c>
      <c r="N151">
        <v>0.43242682926830356</v>
      </c>
      <c r="O151">
        <f>_xlfn.XLOOKUP(S151, AnglePowerMatching!$H:$H, AnglePowerMatching!$C:$C, "NaN")</f>
        <v>35</v>
      </c>
      <c r="P151">
        <f>_xlfn.XLOOKUP(S151, AnglePowerMatching!$H:$H, AnglePowerMatching!$D:$D, "NaN")</f>
        <v>5</v>
      </c>
      <c r="Q151" t="b">
        <f t="shared" si="5"/>
        <v>1</v>
      </c>
      <c r="R151">
        <f>VALUE(_xlfn.TEXTBEFORE(A151, {"L","R"}, , , , A151))</f>
        <v>949</v>
      </c>
      <c r="S151" t="str">
        <f t="shared" si="4"/>
        <v>94920251113</v>
      </c>
    </row>
    <row r="152" spans="1:19" x14ac:dyDescent="0.3">
      <c r="A152" t="s">
        <v>2</v>
      </c>
      <c r="B152" t="s">
        <v>145</v>
      </c>
      <c r="C152">
        <v>77.41935483870968</v>
      </c>
      <c r="D152">
        <v>81.889763779527556</v>
      </c>
      <c r="E152">
        <v>1</v>
      </c>
      <c r="F152">
        <v>1</v>
      </c>
      <c r="G152">
        <v>96</v>
      </c>
      <c r="H152">
        <v>104</v>
      </c>
      <c r="I152">
        <v>125</v>
      </c>
      <c r="J152">
        <v>128</v>
      </c>
      <c r="K152">
        <v>0.8</v>
      </c>
      <c r="L152">
        <v>0.78125</v>
      </c>
      <c r="M152">
        <v>0.55629166666667362</v>
      </c>
      <c r="N152">
        <v>0.58386538461538318</v>
      </c>
      <c r="O152">
        <f>_xlfn.XLOOKUP(S152, AnglePowerMatching!$H:$H, AnglePowerMatching!$C:$C, "NaN")</f>
        <v>35</v>
      </c>
      <c r="P152">
        <f>_xlfn.XLOOKUP(S152, AnglePowerMatching!$H:$H, AnglePowerMatching!$D:$D, "NaN")</f>
        <v>5</v>
      </c>
      <c r="Q152" t="b">
        <f t="shared" si="5"/>
        <v>1</v>
      </c>
      <c r="R152">
        <f>VALUE(_xlfn.TEXTBEFORE(A152, {"L","R"}, , , , A152))</f>
        <v>949</v>
      </c>
      <c r="S152" t="str">
        <f t="shared" si="4"/>
        <v>94920251114</v>
      </c>
    </row>
    <row r="153" spans="1:19" x14ac:dyDescent="0.3">
      <c r="A153" t="s">
        <v>2</v>
      </c>
      <c r="B153" t="s">
        <v>151</v>
      </c>
      <c r="C153">
        <v>81.666666666666671</v>
      </c>
      <c r="D153">
        <v>70.833333333333343</v>
      </c>
      <c r="E153">
        <v>0</v>
      </c>
      <c r="F153">
        <v>0</v>
      </c>
      <c r="G153">
        <v>98</v>
      </c>
      <c r="H153">
        <v>85</v>
      </c>
      <c r="I153">
        <v>120</v>
      </c>
      <c r="J153">
        <v>120</v>
      </c>
      <c r="K153">
        <v>0</v>
      </c>
      <c r="L153">
        <v>0</v>
      </c>
      <c r="M153">
        <v>0.48596938775509757</v>
      </c>
      <c r="N153">
        <v>0.46869411764704894</v>
      </c>
      <c r="O153">
        <f>_xlfn.XLOOKUP(S153, AnglePowerMatching!$H:$H, AnglePowerMatching!$C:$C, "NaN")</f>
        <v>66</v>
      </c>
      <c r="P153">
        <f>_xlfn.XLOOKUP(S153, AnglePowerMatching!$H:$H, AnglePowerMatching!$D:$D, "NaN")</f>
        <v>5</v>
      </c>
      <c r="Q153" t="b">
        <f t="shared" si="5"/>
        <v>1</v>
      </c>
      <c r="R153">
        <f>VALUE(_xlfn.TEXTBEFORE(A153, {"L","R"}, , , , A153))</f>
        <v>949</v>
      </c>
      <c r="S153" t="str">
        <f t="shared" si="4"/>
        <v>94920251115</v>
      </c>
    </row>
    <row r="154" spans="1:19" x14ac:dyDescent="0.3">
      <c r="A154" t="s">
        <v>2</v>
      </c>
      <c r="B154" t="s">
        <v>152</v>
      </c>
      <c r="C154">
        <v>60.833333333333329</v>
      </c>
      <c r="D154">
        <v>55.833333333333336</v>
      </c>
      <c r="E154">
        <v>0</v>
      </c>
      <c r="F154">
        <v>0</v>
      </c>
      <c r="G154">
        <v>73</v>
      </c>
      <c r="H154">
        <v>67</v>
      </c>
      <c r="I154">
        <v>120</v>
      </c>
      <c r="J154">
        <v>120</v>
      </c>
      <c r="K154">
        <v>0</v>
      </c>
      <c r="L154">
        <v>0</v>
      </c>
      <c r="M154">
        <v>0.27450684931506208</v>
      </c>
      <c r="N154">
        <v>0.26871641791045919</v>
      </c>
      <c r="O154">
        <f>_xlfn.XLOOKUP(S154, AnglePowerMatching!$H:$H, AnglePowerMatching!$C:$C, "NaN")</f>
        <v>66</v>
      </c>
      <c r="P154">
        <f>_xlfn.XLOOKUP(S154, AnglePowerMatching!$H:$H, AnglePowerMatching!$D:$D, "NaN")</f>
        <v>3</v>
      </c>
      <c r="Q154" t="b">
        <f t="shared" si="5"/>
        <v>1</v>
      </c>
      <c r="R154">
        <f>VALUE(_xlfn.TEXTBEFORE(A154, {"L","R"}, , , , A154))</f>
        <v>949</v>
      </c>
      <c r="S154" t="str">
        <f t="shared" si="4"/>
        <v>94920251120</v>
      </c>
    </row>
    <row r="155" spans="1:19" x14ac:dyDescent="0.3">
      <c r="A155" t="s">
        <v>2</v>
      </c>
      <c r="B155" t="s">
        <v>121</v>
      </c>
      <c r="C155">
        <v>83.80952380952381</v>
      </c>
      <c r="D155">
        <v>86.79245283018868</v>
      </c>
      <c r="E155">
        <v>15</v>
      </c>
      <c r="F155">
        <v>14</v>
      </c>
      <c r="G155">
        <v>88</v>
      </c>
      <c r="H155">
        <v>92</v>
      </c>
      <c r="I155">
        <v>120</v>
      </c>
      <c r="J155">
        <v>120</v>
      </c>
      <c r="K155">
        <v>12.5</v>
      </c>
      <c r="L155">
        <v>11.666666666666666</v>
      </c>
      <c r="M155">
        <v>0.39000000000000168</v>
      </c>
      <c r="N155">
        <v>0.38792391304348878</v>
      </c>
      <c r="O155">
        <f>_xlfn.XLOOKUP(S155, AnglePowerMatching!$H:$H, AnglePowerMatching!$C:$C, "NaN")</f>
        <v>66</v>
      </c>
      <c r="P155">
        <f>_xlfn.XLOOKUP(S155, AnglePowerMatching!$H:$H, AnglePowerMatching!$D:$D, "NaN")</f>
        <v>5</v>
      </c>
      <c r="Q155" t="b">
        <f t="shared" si="5"/>
        <v>1</v>
      </c>
      <c r="R155">
        <f>VALUE(_xlfn.TEXTBEFORE(A155, {"L","R"}, , , , A155))</f>
        <v>949</v>
      </c>
      <c r="S155" t="str">
        <f t="shared" si="4"/>
        <v>94920251121</v>
      </c>
    </row>
    <row r="156" spans="1:19" x14ac:dyDescent="0.3">
      <c r="A156" t="s">
        <v>2</v>
      </c>
      <c r="B156" t="s">
        <v>40</v>
      </c>
      <c r="C156">
        <v>65.833333333333329</v>
      </c>
      <c r="D156">
        <v>63.865546218487388</v>
      </c>
      <c r="E156">
        <v>0</v>
      </c>
      <c r="F156">
        <v>1</v>
      </c>
      <c r="G156">
        <v>79</v>
      </c>
      <c r="H156">
        <v>76</v>
      </c>
      <c r="I156">
        <v>120</v>
      </c>
      <c r="J156">
        <v>120</v>
      </c>
      <c r="K156">
        <v>0</v>
      </c>
      <c r="L156">
        <v>0.83333333333333337</v>
      </c>
      <c r="M156">
        <v>0.2676075949367055</v>
      </c>
      <c r="N156">
        <v>0.27099999999999164</v>
      </c>
      <c r="O156">
        <f>_xlfn.XLOOKUP(S156, AnglePowerMatching!$H:$H, AnglePowerMatching!$C:$C, "NaN")</f>
        <v>66</v>
      </c>
      <c r="P156">
        <f>_xlfn.XLOOKUP(S156, AnglePowerMatching!$H:$H, AnglePowerMatching!$D:$D, "NaN")</f>
        <v>3</v>
      </c>
      <c r="Q156" t="b">
        <f t="shared" si="5"/>
        <v>1</v>
      </c>
      <c r="R156">
        <f>VALUE(_xlfn.TEXTBEFORE(A156, {"L","R"}, , , , A156))</f>
        <v>949</v>
      </c>
      <c r="S156" t="str">
        <f t="shared" si="4"/>
        <v>94920251122</v>
      </c>
    </row>
    <row r="157" spans="1:19" x14ac:dyDescent="0.3">
      <c r="A157" t="s">
        <v>2</v>
      </c>
      <c r="B157" t="s">
        <v>122</v>
      </c>
      <c r="C157">
        <v>56.034482758620683</v>
      </c>
      <c r="D157">
        <v>58.974358974358978</v>
      </c>
      <c r="E157">
        <v>6</v>
      </c>
      <c r="F157">
        <v>3</v>
      </c>
      <c r="G157">
        <v>65</v>
      </c>
      <c r="H157">
        <v>69</v>
      </c>
      <c r="I157">
        <v>122</v>
      </c>
      <c r="J157">
        <v>120</v>
      </c>
      <c r="K157">
        <v>4.918032786885246</v>
      </c>
      <c r="L157">
        <v>2.5</v>
      </c>
      <c r="M157">
        <v>0.34969230769230525</v>
      </c>
      <c r="N157">
        <v>0.34926086956523578</v>
      </c>
      <c r="O157">
        <f>_xlfn.XLOOKUP(S157, AnglePowerMatching!$H:$H, AnglePowerMatching!$C:$C, "NaN")</f>
        <v>66</v>
      </c>
      <c r="P157" t="str">
        <f>_xlfn.XLOOKUP(S157, AnglePowerMatching!$H:$H, AnglePowerMatching!$D:$D, "NaN")</f>
        <v>3 masker</v>
      </c>
      <c r="Q157" t="b">
        <f t="shared" si="5"/>
        <v>1</v>
      </c>
      <c r="R157">
        <f>VALUE(_xlfn.TEXTBEFORE(A157, {"L","R"}, , , , A157))</f>
        <v>949</v>
      </c>
      <c r="S157" t="str">
        <f t="shared" si="4"/>
        <v>94920251125</v>
      </c>
    </row>
    <row r="158" spans="1:19" x14ac:dyDescent="0.3">
      <c r="A158" t="s">
        <v>2</v>
      </c>
      <c r="B158" t="s">
        <v>123</v>
      </c>
      <c r="C158">
        <v>46.825396825396822</v>
      </c>
      <c r="D158">
        <v>52.205882352941181</v>
      </c>
      <c r="E158">
        <v>19</v>
      </c>
      <c r="F158">
        <v>10</v>
      </c>
      <c r="G158">
        <v>59</v>
      </c>
      <c r="H158">
        <v>71</v>
      </c>
      <c r="I158">
        <v>145</v>
      </c>
      <c r="J158">
        <v>146</v>
      </c>
      <c r="K158">
        <v>13.103448275862069</v>
      </c>
      <c r="L158">
        <v>6.8493150684931505</v>
      </c>
      <c r="M158">
        <v>0.24247457627118363</v>
      </c>
      <c r="N158">
        <v>0.23307042253521684</v>
      </c>
      <c r="O158">
        <f>_xlfn.XLOOKUP(S158, AnglePowerMatching!$H:$H, AnglePowerMatching!$C:$C, "NaN")</f>
        <v>66</v>
      </c>
      <c r="P158" t="str">
        <f>_xlfn.XLOOKUP(S158, AnglePowerMatching!$H:$H, AnglePowerMatching!$D:$D, "NaN")</f>
        <v>5 masker</v>
      </c>
      <c r="Q158" t="b">
        <f t="shared" si="5"/>
        <v>1</v>
      </c>
      <c r="R158">
        <f>VALUE(_xlfn.TEXTBEFORE(A158, {"L","R"}, , , , A158))</f>
        <v>949</v>
      </c>
      <c r="S158" t="str">
        <f t="shared" si="4"/>
        <v>94920251204</v>
      </c>
    </row>
    <row r="159" spans="1:19" x14ac:dyDescent="0.3">
      <c r="A159" t="s">
        <v>2</v>
      </c>
      <c r="B159" t="s">
        <v>47</v>
      </c>
      <c r="C159">
        <v>50</v>
      </c>
      <c r="D159">
        <v>50.833333333333329</v>
      </c>
      <c r="E159">
        <v>0</v>
      </c>
      <c r="F159">
        <v>0</v>
      </c>
      <c r="G159">
        <v>60</v>
      </c>
      <c r="H159">
        <v>61</v>
      </c>
      <c r="I159">
        <v>120</v>
      </c>
      <c r="J159">
        <v>120</v>
      </c>
      <c r="K159">
        <v>0</v>
      </c>
      <c r="L159">
        <v>0</v>
      </c>
      <c r="M159">
        <v>0.19335000000000252</v>
      </c>
      <c r="N159">
        <v>0.17386885245902597</v>
      </c>
      <c r="O159">
        <f>_xlfn.XLOOKUP(S159, AnglePowerMatching!$H:$H, AnglePowerMatching!$C:$C, "NaN")</f>
        <v>66</v>
      </c>
      <c r="P159" t="str">
        <f>_xlfn.XLOOKUP(S159, AnglePowerMatching!$H:$H, AnglePowerMatching!$D:$D, "NaN")</f>
        <v>10 masker</v>
      </c>
      <c r="Q159" t="b">
        <f t="shared" si="5"/>
        <v>1</v>
      </c>
      <c r="R159">
        <f>VALUE(_xlfn.TEXTBEFORE(A159, {"L","R"}, , , , A159))</f>
        <v>949</v>
      </c>
      <c r="S159" t="str">
        <f t="shared" si="4"/>
        <v>94920251217</v>
      </c>
    </row>
    <row r="160" spans="1:19" x14ac:dyDescent="0.3">
      <c r="A160" t="s">
        <v>2</v>
      </c>
      <c r="B160" t="s">
        <v>48</v>
      </c>
      <c r="C160">
        <v>48.760330578512395</v>
      </c>
      <c r="D160">
        <v>60.833333333333329</v>
      </c>
      <c r="E160">
        <v>0</v>
      </c>
      <c r="F160">
        <v>0</v>
      </c>
      <c r="G160">
        <v>59</v>
      </c>
      <c r="H160">
        <v>73</v>
      </c>
      <c r="I160">
        <v>121</v>
      </c>
      <c r="J160">
        <v>120</v>
      </c>
      <c r="K160">
        <v>0</v>
      </c>
      <c r="L160">
        <v>0</v>
      </c>
      <c r="M160">
        <v>0.20428813559321235</v>
      </c>
      <c r="N160">
        <v>0.19789041095890911</v>
      </c>
      <c r="O160" t="str">
        <f>_xlfn.XLOOKUP(S160, AnglePowerMatching!$H:$H, AnglePowerMatching!$C:$C, "NaN")</f>
        <v>NaN</v>
      </c>
      <c r="P160" t="str">
        <f>_xlfn.XLOOKUP(S160, AnglePowerMatching!$H:$H, AnglePowerMatching!$D:$D, "NaN")</f>
        <v>NaN</v>
      </c>
      <c r="Q160" t="b">
        <f t="shared" si="5"/>
        <v>1</v>
      </c>
      <c r="R160">
        <f>VALUE(_xlfn.TEXTBEFORE(A160, {"L","R"}, , , , A160))</f>
        <v>949</v>
      </c>
      <c r="S160" t="str">
        <f t="shared" si="4"/>
        <v>94920251218</v>
      </c>
    </row>
    <row r="161" spans="1:19" x14ac:dyDescent="0.3">
      <c r="A161" t="s">
        <v>2</v>
      </c>
      <c r="B161" t="s">
        <v>50</v>
      </c>
      <c r="C161">
        <v>62.711864406779661</v>
      </c>
      <c r="D161">
        <v>59.166666666666664</v>
      </c>
      <c r="E161">
        <v>2</v>
      </c>
      <c r="F161">
        <v>0</v>
      </c>
      <c r="G161">
        <v>74</v>
      </c>
      <c r="H161">
        <v>71</v>
      </c>
      <c r="I161">
        <v>120</v>
      </c>
      <c r="J161">
        <v>120</v>
      </c>
      <c r="K161">
        <v>1.6666666666666667</v>
      </c>
      <c r="L161">
        <v>0</v>
      </c>
      <c r="M161">
        <v>0.36654054054054142</v>
      </c>
      <c r="N161">
        <v>0.33823943661971351</v>
      </c>
      <c r="O161">
        <f>_xlfn.XLOOKUP(S161, AnglePowerMatching!$H:$H, AnglePowerMatching!$C:$C, "NaN")</f>
        <v>90</v>
      </c>
      <c r="P161">
        <f>_xlfn.XLOOKUP(S161, AnglePowerMatching!$H:$H, AnglePowerMatching!$D:$D, "NaN")</f>
        <v>10</v>
      </c>
      <c r="Q161" t="b">
        <f t="shared" si="5"/>
        <v>1</v>
      </c>
      <c r="R161">
        <f>VALUE(_xlfn.TEXTBEFORE(A161, {"L","R"}, , , , A161))</f>
        <v>949</v>
      </c>
      <c r="S161" t="str">
        <f t="shared" si="4"/>
        <v>94920251231</v>
      </c>
    </row>
    <row r="162" spans="1:19" x14ac:dyDescent="0.3">
      <c r="A162" t="s">
        <v>2</v>
      </c>
      <c r="B162" t="s">
        <v>51</v>
      </c>
      <c r="C162">
        <v>71.428571428571431</v>
      </c>
      <c r="D162">
        <v>75</v>
      </c>
      <c r="E162">
        <v>1</v>
      </c>
      <c r="F162">
        <v>0</v>
      </c>
      <c r="G162">
        <v>85</v>
      </c>
      <c r="H162">
        <v>90</v>
      </c>
      <c r="I162">
        <v>120</v>
      </c>
      <c r="J162">
        <v>120</v>
      </c>
      <c r="K162">
        <v>0.83333333333333337</v>
      </c>
      <c r="L162">
        <v>0</v>
      </c>
      <c r="M162">
        <v>0.4181882352941072</v>
      </c>
      <c r="N162">
        <v>0.40737777777776957</v>
      </c>
      <c r="O162">
        <f>_xlfn.XLOOKUP(S162, AnglePowerMatching!$H:$H, AnglePowerMatching!$C:$C, "NaN")</f>
        <v>35</v>
      </c>
      <c r="P162">
        <f>_xlfn.XLOOKUP(S162, AnglePowerMatching!$H:$H, AnglePowerMatching!$D:$D, "NaN")</f>
        <v>10</v>
      </c>
      <c r="Q162" t="b">
        <f t="shared" si="5"/>
        <v>1</v>
      </c>
      <c r="R162">
        <f>VALUE(_xlfn.TEXTBEFORE(A162, {"L","R"}, , , , A162))</f>
        <v>949</v>
      </c>
      <c r="S162" t="str">
        <f t="shared" si="4"/>
        <v>94920260107</v>
      </c>
    </row>
    <row r="163" spans="1:19" x14ac:dyDescent="0.3">
      <c r="A163" t="s">
        <v>2</v>
      </c>
      <c r="B163" t="s">
        <v>52</v>
      </c>
      <c r="C163">
        <v>70</v>
      </c>
      <c r="D163">
        <v>78.991596638655466</v>
      </c>
      <c r="E163">
        <v>0</v>
      </c>
      <c r="F163">
        <v>1</v>
      </c>
      <c r="G163">
        <v>84</v>
      </c>
      <c r="H163">
        <v>94</v>
      </c>
      <c r="I163">
        <v>120</v>
      </c>
      <c r="J163">
        <v>120</v>
      </c>
      <c r="K163">
        <v>0</v>
      </c>
      <c r="L163">
        <v>0.83333333333333337</v>
      </c>
      <c r="M163">
        <v>0.40661904761904466</v>
      </c>
      <c r="N163">
        <v>0.4180638297872401</v>
      </c>
      <c r="O163">
        <f>_xlfn.XLOOKUP(S163, AnglePowerMatching!$H:$H, AnglePowerMatching!$C:$C, "NaN")</f>
        <v>35</v>
      </c>
      <c r="P163">
        <f>_xlfn.XLOOKUP(S163, AnglePowerMatching!$H:$H, AnglePowerMatching!$D:$D, "NaN")</f>
        <v>10</v>
      </c>
      <c r="Q163" t="b">
        <f t="shared" si="5"/>
        <v>1</v>
      </c>
      <c r="R163">
        <f>VALUE(_xlfn.TEXTBEFORE(A163, {"L","R"}, , , , A163))</f>
        <v>949</v>
      </c>
      <c r="S163" t="str">
        <f t="shared" si="4"/>
        <v>94920260108</v>
      </c>
    </row>
    <row r="164" spans="1:19" x14ac:dyDescent="0.3">
      <c r="A164" t="s">
        <v>2</v>
      </c>
      <c r="B164" t="s">
        <v>86</v>
      </c>
      <c r="C164">
        <v>70</v>
      </c>
      <c r="D164">
        <v>62.5</v>
      </c>
      <c r="E164">
        <v>0</v>
      </c>
      <c r="F164">
        <v>0</v>
      </c>
      <c r="G164">
        <v>84</v>
      </c>
      <c r="H164">
        <v>75</v>
      </c>
      <c r="I164">
        <v>120</v>
      </c>
      <c r="J164">
        <v>120</v>
      </c>
      <c r="K164">
        <v>0</v>
      </c>
      <c r="L164">
        <v>0</v>
      </c>
      <c r="M164">
        <v>0.3704761904761848</v>
      </c>
      <c r="N164">
        <v>0.35506666666665798</v>
      </c>
      <c r="O164">
        <f>_xlfn.XLOOKUP(S164, AnglePowerMatching!$H:$H, AnglePowerMatching!$C:$C, "NaN")</f>
        <v>26</v>
      </c>
      <c r="P164">
        <f>_xlfn.XLOOKUP(S164, AnglePowerMatching!$H:$H, AnglePowerMatching!$D:$D, "NaN")</f>
        <v>3</v>
      </c>
      <c r="Q164" t="b">
        <f t="shared" si="5"/>
        <v>1</v>
      </c>
      <c r="R164">
        <f>VALUE(_xlfn.TEXTBEFORE(A164, {"L","R"}, , , , A164))</f>
        <v>949</v>
      </c>
      <c r="S164" t="str">
        <f t="shared" si="4"/>
        <v>94920260114</v>
      </c>
    </row>
    <row r="165" spans="1:19" x14ac:dyDescent="0.3">
      <c r="A165" t="s">
        <v>2</v>
      </c>
      <c r="B165" t="s">
        <v>7</v>
      </c>
      <c r="C165">
        <v>59.166666666666664</v>
      </c>
      <c r="D165">
        <v>60</v>
      </c>
      <c r="E165">
        <v>0</v>
      </c>
      <c r="F165">
        <v>0</v>
      </c>
      <c r="G165">
        <v>71</v>
      </c>
      <c r="H165">
        <v>72</v>
      </c>
      <c r="I165">
        <v>120</v>
      </c>
      <c r="J165">
        <v>120</v>
      </c>
      <c r="K165">
        <v>0</v>
      </c>
      <c r="L165">
        <v>0</v>
      </c>
      <c r="M165">
        <v>0.28346478873239789</v>
      </c>
      <c r="N165">
        <v>0.23294444444444595</v>
      </c>
      <c r="O165">
        <f>_xlfn.XLOOKUP(S165, AnglePowerMatching!$H:$H, AnglePowerMatching!$C:$C, "NaN")</f>
        <v>26</v>
      </c>
      <c r="P165">
        <f>_xlfn.XLOOKUP(S165, AnglePowerMatching!$H:$H, AnglePowerMatching!$D:$D, "NaN")</f>
        <v>10</v>
      </c>
      <c r="Q165" t="b">
        <f t="shared" si="5"/>
        <v>1</v>
      </c>
      <c r="R165">
        <f>VALUE(_xlfn.TEXTBEFORE(A165, {"L","R"}, , , , A165))</f>
        <v>949</v>
      </c>
      <c r="S165" t="str">
        <f t="shared" si="4"/>
        <v>94920260115</v>
      </c>
    </row>
    <row r="166" spans="1:19" x14ac:dyDescent="0.3">
      <c r="A166" t="s">
        <v>2</v>
      </c>
      <c r="B166" t="s">
        <v>56</v>
      </c>
      <c r="C166">
        <v>87.142857142857139</v>
      </c>
      <c r="D166">
        <v>83.582089552238799</v>
      </c>
      <c r="E166">
        <v>50</v>
      </c>
      <c r="F166">
        <v>53</v>
      </c>
      <c r="G166">
        <v>61</v>
      </c>
      <c r="H166">
        <v>56</v>
      </c>
      <c r="I166">
        <v>120</v>
      </c>
      <c r="J166">
        <v>120</v>
      </c>
      <c r="K166">
        <v>41.666666666666671</v>
      </c>
      <c r="L166">
        <v>44.166666666666664</v>
      </c>
      <c r="M166">
        <v>0.58580327868852755</v>
      </c>
      <c r="N166">
        <v>0.59100000000000297</v>
      </c>
      <c r="O166">
        <f>_xlfn.XLOOKUP(S166, AnglePowerMatching!$H:$H, AnglePowerMatching!$C:$C, "NaN")</f>
        <v>66</v>
      </c>
      <c r="P166">
        <f>_xlfn.XLOOKUP(S166, AnglePowerMatching!$H:$H, AnglePowerMatching!$D:$D, "NaN")</f>
        <v>5</v>
      </c>
      <c r="Q166" t="b">
        <f t="shared" si="5"/>
        <v>1</v>
      </c>
      <c r="R166">
        <f>VALUE(_xlfn.TEXTBEFORE(A166, {"L","R"}, , , , A166))</f>
        <v>949</v>
      </c>
      <c r="S166" t="str">
        <f t="shared" si="4"/>
        <v>94920260123</v>
      </c>
    </row>
    <row r="167" spans="1:19" x14ac:dyDescent="0.3">
      <c r="A167" t="s">
        <v>38</v>
      </c>
      <c r="B167" t="s">
        <v>119</v>
      </c>
      <c r="C167">
        <v>80.645161290322577</v>
      </c>
      <c r="D167">
        <v>86.666666666666671</v>
      </c>
      <c r="E167">
        <v>61</v>
      </c>
      <c r="F167">
        <v>63</v>
      </c>
      <c r="G167">
        <v>50</v>
      </c>
      <c r="H167">
        <v>52</v>
      </c>
      <c r="I167">
        <v>123</v>
      </c>
      <c r="J167">
        <v>123</v>
      </c>
      <c r="K167">
        <v>49.59349593495935</v>
      </c>
      <c r="L167">
        <v>51.219512195121951</v>
      </c>
      <c r="M167">
        <v>0.62089999999999579</v>
      </c>
      <c r="N167">
        <v>0.59917307692308741</v>
      </c>
      <c r="O167">
        <f>_xlfn.XLOOKUP(S167, AnglePowerMatching!$H:$H, AnglePowerMatching!$C:$C, "NaN")</f>
        <v>16</v>
      </c>
      <c r="P167">
        <f>_xlfn.XLOOKUP(S167, AnglePowerMatching!$H:$H, AnglePowerMatching!$D:$D, "NaN")</f>
        <v>5</v>
      </c>
      <c r="Q167" t="b">
        <f t="shared" si="5"/>
        <v>1</v>
      </c>
      <c r="R167">
        <f>VALUE(_xlfn.TEXTBEFORE(A167, {"L","R"}, , , , A167))</f>
        <v>950</v>
      </c>
      <c r="S167" t="str">
        <f t="shared" si="4"/>
        <v>95020250921</v>
      </c>
    </row>
    <row r="168" spans="1:19" x14ac:dyDescent="0.3">
      <c r="A168" t="s">
        <v>38</v>
      </c>
      <c r="B168" t="s">
        <v>120</v>
      </c>
      <c r="C168">
        <v>75</v>
      </c>
      <c r="D168">
        <v>77.89473684210526</v>
      </c>
      <c r="E168">
        <v>24</v>
      </c>
      <c r="F168">
        <v>25</v>
      </c>
      <c r="G168">
        <v>72</v>
      </c>
      <c r="H168">
        <v>74</v>
      </c>
      <c r="I168">
        <v>120</v>
      </c>
      <c r="J168">
        <v>120</v>
      </c>
      <c r="K168">
        <v>20</v>
      </c>
      <c r="L168">
        <v>20.833333333333336</v>
      </c>
      <c r="M168">
        <v>0.45924999999999727</v>
      </c>
      <c r="N168">
        <v>0.43716216216217657</v>
      </c>
      <c r="O168">
        <f>_xlfn.XLOOKUP(S168, AnglePowerMatching!$H:$H, AnglePowerMatching!$C:$C, "NaN")</f>
        <v>16</v>
      </c>
      <c r="P168">
        <f>_xlfn.XLOOKUP(S168, AnglePowerMatching!$H:$H, AnglePowerMatching!$D:$D, "NaN")</f>
        <v>10</v>
      </c>
      <c r="Q168" t="b">
        <f t="shared" si="5"/>
        <v>1</v>
      </c>
      <c r="R168">
        <f>VALUE(_xlfn.TEXTBEFORE(A168, {"L","R"}, , , , A168))</f>
        <v>950</v>
      </c>
      <c r="S168" t="str">
        <f t="shared" si="4"/>
        <v>95020250923</v>
      </c>
    </row>
    <row r="169" spans="1:19" x14ac:dyDescent="0.3">
      <c r="A169" t="s">
        <v>38</v>
      </c>
      <c r="B169" t="s">
        <v>124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100</v>
      </c>
      <c r="N169">
        <v>15.458</v>
      </c>
      <c r="O169">
        <f>_xlfn.XLOOKUP(S169, AnglePowerMatching!$H:$H, AnglePowerMatching!$C:$C, "NaN")</f>
        <v>66</v>
      </c>
      <c r="P169" t="str">
        <f>_xlfn.XLOOKUP(S169, AnglePowerMatching!$H:$H, AnglePowerMatching!$D:$D, "NaN")</f>
        <v>10 masker</v>
      </c>
      <c r="Q169" t="b">
        <f t="shared" si="5"/>
        <v>0</v>
      </c>
      <c r="R169">
        <f>VALUE(_xlfn.TEXTBEFORE(A169, {"L","R"}, , , , A169))</f>
        <v>950</v>
      </c>
      <c r="S169" t="str">
        <f t="shared" si="4"/>
        <v>95020251012</v>
      </c>
    </row>
    <row r="170" spans="1:19" x14ac:dyDescent="0.3">
      <c r="A170" t="s">
        <v>38</v>
      </c>
      <c r="B170" t="s">
        <v>124</v>
      </c>
      <c r="C170">
        <v>94.495412844036693</v>
      </c>
      <c r="D170">
        <v>90</v>
      </c>
      <c r="E170">
        <v>11</v>
      </c>
      <c r="F170">
        <v>10</v>
      </c>
      <c r="G170">
        <v>103</v>
      </c>
      <c r="H170">
        <v>99</v>
      </c>
      <c r="I170">
        <v>120</v>
      </c>
      <c r="J170">
        <v>120</v>
      </c>
      <c r="K170">
        <v>9.1666666666666661</v>
      </c>
      <c r="L170">
        <v>8.3333333333333321</v>
      </c>
      <c r="M170">
        <v>0.48242718446600713</v>
      </c>
      <c r="N170">
        <v>0.48735353535352832</v>
      </c>
      <c r="O170">
        <f>_xlfn.XLOOKUP(S170, AnglePowerMatching!$H:$H, AnglePowerMatching!$C:$C, "NaN")</f>
        <v>66</v>
      </c>
      <c r="P170" t="str">
        <f>_xlfn.XLOOKUP(S170, AnglePowerMatching!$H:$H, AnglePowerMatching!$D:$D, "NaN")</f>
        <v>10 masker</v>
      </c>
      <c r="Q170" t="b">
        <f t="shared" si="5"/>
        <v>1</v>
      </c>
      <c r="R170">
        <f>VALUE(_xlfn.TEXTBEFORE(A170, {"L","R"}, , , , A170))</f>
        <v>950</v>
      </c>
      <c r="S170" t="str">
        <f t="shared" si="4"/>
        <v>95020251012</v>
      </c>
    </row>
    <row r="171" spans="1:19" x14ac:dyDescent="0.3">
      <c r="A171" t="s">
        <v>38</v>
      </c>
      <c r="B171" t="s">
        <v>124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O171">
        <f>_xlfn.XLOOKUP(S171, AnglePowerMatching!$H:$H, AnglePowerMatching!$C:$C, "NaN")</f>
        <v>66</v>
      </c>
      <c r="P171" t="str">
        <f>_xlfn.XLOOKUP(S171, AnglePowerMatching!$H:$H, AnglePowerMatching!$D:$D, "NaN")</f>
        <v>10 masker</v>
      </c>
      <c r="Q171" t="b">
        <f t="shared" si="5"/>
        <v>0</v>
      </c>
      <c r="R171">
        <f>VALUE(_xlfn.TEXTBEFORE(A171, {"L","R"}, , , , A171))</f>
        <v>950</v>
      </c>
      <c r="S171" t="str">
        <f t="shared" si="4"/>
        <v>95020251012</v>
      </c>
    </row>
    <row r="172" spans="1:19" x14ac:dyDescent="0.3">
      <c r="A172" t="s">
        <v>38</v>
      </c>
      <c r="B172" t="s">
        <v>76</v>
      </c>
      <c r="C172">
        <v>72.222222222222214</v>
      </c>
      <c r="D172">
        <v>55.454545454545453</v>
      </c>
      <c r="E172">
        <v>12</v>
      </c>
      <c r="F172">
        <v>10</v>
      </c>
      <c r="G172">
        <v>78</v>
      </c>
      <c r="H172">
        <v>61</v>
      </c>
      <c r="I172">
        <v>120</v>
      </c>
      <c r="J172">
        <v>120</v>
      </c>
      <c r="K172">
        <v>10</v>
      </c>
      <c r="L172">
        <v>8.3333333333333321</v>
      </c>
      <c r="M172">
        <v>0.38339743589743142</v>
      </c>
      <c r="N172">
        <v>0.3383934426229665</v>
      </c>
      <c r="O172">
        <f>_xlfn.XLOOKUP(S172, AnglePowerMatching!$H:$H, AnglePowerMatching!$C:$C, "NaN")</f>
        <v>66</v>
      </c>
      <c r="P172" t="str">
        <f>_xlfn.XLOOKUP(S172, AnglePowerMatching!$H:$H, AnglePowerMatching!$D:$D, "NaN")</f>
        <v>3 masker</v>
      </c>
      <c r="Q172" t="b">
        <f t="shared" si="5"/>
        <v>1</v>
      </c>
      <c r="R172">
        <f>VALUE(_xlfn.TEXTBEFORE(A172, {"L","R"}, , , , A172))</f>
        <v>950</v>
      </c>
      <c r="S172" t="str">
        <f t="shared" si="4"/>
        <v>95020251022</v>
      </c>
    </row>
    <row r="173" spans="1:19" x14ac:dyDescent="0.3">
      <c r="A173" t="s">
        <v>38</v>
      </c>
      <c r="B173" t="s">
        <v>64</v>
      </c>
      <c r="C173">
        <v>74.074074074074076</v>
      </c>
      <c r="D173">
        <v>83.516483516483518</v>
      </c>
      <c r="E173">
        <v>39</v>
      </c>
      <c r="F173">
        <v>29</v>
      </c>
      <c r="G173">
        <v>60</v>
      </c>
      <c r="H173">
        <v>76</v>
      </c>
      <c r="I173">
        <v>120</v>
      </c>
      <c r="J173">
        <v>120</v>
      </c>
      <c r="K173">
        <v>32.5</v>
      </c>
      <c r="L173">
        <v>24.166666666666668</v>
      </c>
      <c r="M173">
        <v>0.51518333333333066</v>
      </c>
      <c r="N173">
        <v>0.56534210526315465</v>
      </c>
      <c r="O173">
        <f>_xlfn.XLOOKUP(S173, AnglePowerMatching!$H:$H, AnglePowerMatching!$C:$C, "NaN")</f>
        <v>66</v>
      </c>
      <c r="P173" t="str">
        <f>_xlfn.XLOOKUP(S173, AnglePowerMatching!$H:$H, AnglePowerMatching!$D:$D, "NaN")</f>
        <v>5 masker</v>
      </c>
      <c r="Q173" t="b">
        <f t="shared" si="5"/>
        <v>1</v>
      </c>
      <c r="R173">
        <f>VALUE(_xlfn.TEXTBEFORE(A173, {"L","R"}, , , , A173))</f>
        <v>950</v>
      </c>
      <c r="S173" t="str">
        <f t="shared" si="4"/>
        <v>95020251025</v>
      </c>
    </row>
    <row r="174" spans="1:19" x14ac:dyDescent="0.3">
      <c r="A174" t="s">
        <v>38</v>
      </c>
      <c r="B174" t="s">
        <v>67</v>
      </c>
      <c r="C174">
        <v>75.65217391304347</v>
      </c>
      <c r="D174">
        <v>81.578947368421055</v>
      </c>
      <c r="E174">
        <v>5</v>
      </c>
      <c r="F174">
        <v>6</v>
      </c>
      <c r="G174">
        <v>87</v>
      </c>
      <c r="H174">
        <v>93</v>
      </c>
      <c r="I174">
        <v>120</v>
      </c>
      <c r="J174">
        <v>120</v>
      </c>
      <c r="K174">
        <v>4.1666666666666661</v>
      </c>
      <c r="L174">
        <v>5</v>
      </c>
      <c r="M174">
        <v>0.43387356321839798</v>
      </c>
      <c r="N174">
        <v>0.41483870967742609</v>
      </c>
      <c r="O174">
        <f>_xlfn.XLOOKUP(S174, AnglePowerMatching!$H:$H, AnglePowerMatching!$C:$C, "NaN")</f>
        <v>66</v>
      </c>
      <c r="P174" t="str">
        <f>_xlfn.XLOOKUP(S174, AnglePowerMatching!$H:$H, AnglePowerMatching!$D:$D, "NaN")</f>
        <v>10 masker</v>
      </c>
      <c r="Q174" t="b">
        <f t="shared" si="5"/>
        <v>1</v>
      </c>
      <c r="R174">
        <f>VALUE(_xlfn.TEXTBEFORE(A174, {"L","R"}, , , , A174))</f>
        <v>950</v>
      </c>
      <c r="S174" t="str">
        <f t="shared" si="4"/>
        <v>95020251028</v>
      </c>
    </row>
    <row r="175" spans="1:19" x14ac:dyDescent="0.3">
      <c r="A175" t="s">
        <v>38</v>
      </c>
      <c r="B175" t="s">
        <v>70</v>
      </c>
      <c r="C175">
        <v>71.818181818181813</v>
      </c>
      <c r="D175">
        <v>72.222222222222214</v>
      </c>
      <c r="E175">
        <v>10</v>
      </c>
      <c r="F175">
        <v>12</v>
      </c>
      <c r="G175">
        <v>79</v>
      </c>
      <c r="H175">
        <v>78</v>
      </c>
      <c r="I175">
        <v>120</v>
      </c>
      <c r="J175">
        <v>120</v>
      </c>
      <c r="K175">
        <v>8.3333333333333321</v>
      </c>
      <c r="L175">
        <v>10</v>
      </c>
      <c r="M175">
        <v>0.5842151898734137</v>
      </c>
      <c r="N175">
        <v>0.56216666666666781</v>
      </c>
      <c r="O175">
        <f>_xlfn.XLOOKUP(S175, AnglePowerMatching!$H:$H, AnglePowerMatching!$C:$C, "NaN")</f>
        <v>35</v>
      </c>
      <c r="P175" t="str">
        <f>_xlfn.XLOOKUP(S175, AnglePowerMatching!$H:$H, AnglePowerMatching!$D:$D, "NaN")</f>
        <v>3 masker</v>
      </c>
      <c r="Q175" t="b">
        <f t="shared" si="5"/>
        <v>1</v>
      </c>
      <c r="R175">
        <f>VALUE(_xlfn.TEXTBEFORE(A175, {"L","R"}, , , , A175))</f>
        <v>950</v>
      </c>
      <c r="S175" t="str">
        <f t="shared" si="4"/>
        <v>95020251105</v>
      </c>
    </row>
    <row r="176" spans="1:19" x14ac:dyDescent="0.3">
      <c r="A176" t="s">
        <v>38</v>
      </c>
      <c r="B176" t="s">
        <v>83</v>
      </c>
      <c r="C176">
        <v>57.758620689655174</v>
      </c>
      <c r="D176">
        <v>59.663865546218489</v>
      </c>
      <c r="E176">
        <v>4</v>
      </c>
      <c r="F176">
        <v>1</v>
      </c>
      <c r="G176">
        <v>67</v>
      </c>
      <c r="H176">
        <v>71</v>
      </c>
      <c r="I176">
        <v>120</v>
      </c>
      <c r="J176">
        <v>120</v>
      </c>
      <c r="K176">
        <v>3.3333333333333335</v>
      </c>
      <c r="L176">
        <v>0.83333333333333337</v>
      </c>
      <c r="M176">
        <v>0.38565671641791932</v>
      </c>
      <c r="N176">
        <v>0.38864788732394373</v>
      </c>
      <c r="O176">
        <f>_xlfn.XLOOKUP(S176, AnglePowerMatching!$H:$H, AnglePowerMatching!$C:$C, "NaN")</f>
        <v>35</v>
      </c>
      <c r="P176" t="str">
        <f>_xlfn.XLOOKUP(S176, AnglePowerMatching!$H:$H, AnglePowerMatching!$D:$D, "NaN")</f>
        <v>5 masker</v>
      </c>
      <c r="Q176" t="b">
        <f t="shared" si="5"/>
        <v>1</v>
      </c>
      <c r="R176">
        <f>VALUE(_xlfn.TEXTBEFORE(A176, {"L","R"}, , , , A176))</f>
        <v>950</v>
      </c>
      <c r="S176" t="str">
        <f t="shared" si="4"/>
        <v>95020251107</v>
      </c>
    </row>
    <row r="177" spans="1:19" x14ac:dyDescent="0.3">
      <c r="A177" t="s">
        <v>38</v>
      </c>
      <c r="B177" t="s">
        <v>125</v>
      </c>
      <c r="C177">
        <v>59.615384615384613</v>
      </c>
      <c r="D177">
        <v>54.205607476635507</v>
      </c>
      <c r="E177">
        <v>16</v>
      </c>
      <c r="F177">
        <v>13</v>
      </c>
      <c r="G177">
        <v>62</v>
      </c>
      <c r="H177">
        <v>58</v>
      </c>
      <c r="I177">
        <v>120</v>
      </c>
      <c r="J177">
        <v>120</v>
      </c>
      <c r="K177">
        <v>13.333333333333334</v>
      </c>
      <c r="L177">
        <v>10.833333333333334</v>
      </c>
      <c r="M177">
        <v>0.36514516129032304</v>
      </c>
      <c r="N177">
        <v>0.33631034482758843</v>
      </c>
      <c r="O177">
        <f>_xlfn.XLOOKUP(S177, AnglePowerMatching!$H:$H, AnglePowerMatching!$C:$C, "NaN")</f>
        <v>35</v>
      </c>
      <c r="P177" t="str">
        <f>_xlfn.XLOOKUP(S177, AnglePowerMatching!$H:$H, AnglePowerMatching!$D:$D, "NaN")</f>
        <v>10 masker</v>
      </c>
      <c r="Q177" t="b">
        <f t="shared" si="5"/>
        <v>1</v>
      </c>
      <c r="R177">
        <f>VALUE(_xlfn.TEXTBEFORE(A177, {"L","R"}, , , , A177))</f>
        <v>950</v>
      </c>
      <c r="S177" t="str">
        <f t="shared" si="4"/>
        <v>95020251110</v>
      </c>
    </row>
    <row r="178" spans="1:19" x14ac:dyDescent="0.3">
      <c r="A178" t="s">
        <v>38</v>
      </c>
      <c r="B178" t="s">
        <v>121</v>
      </c>
      <c r="C178">
        <v>47.899159663865547</v>
      </c>
      <c r="D178">
        <v>52.100840336134461</v>
      </c>
      <c r="E178">
        <v>1</v>
      </c>
      <c r="F178">
        <v>1</v>
      </c>
      <c r="G178">
        <v>57</v>
      </c>
      <c r="H178">
        <v>62</v>
      </c>
      <c r="I178">
        <v>120</v>
      </c>
      <c r="J178">
        <v>120</v>
      </c>
      <c r="K178">
        <v>0.83333333333333337</v>
      </c>
      <c r="L178">
        <v>0.83333333333333337</v>
      </c>
      <c r="M178">
        <v>0.26680701754385894</v>
      </c>
      <c r="N178">
        <v>0.26437096774193197</v>
      </c>
      <c r="O178">
        <f>_xlfn.XLOOKUP(S178, AnglePowerMatching!$H:$H, AnglePowerMatching!$C:$C, "NaN")</f>
        <v>16</v>
      </c>
      <c r="P178" t="str">
        <f>_xlfn.XLOOKUP(S178, AnglePowerMatching!$H:$H, AnglePowerMatching!$D:$D, "NaN")</f>
        <v>5 masker</v>
      </c>
      <c r="Q178" t="b">
        <f t="shared" si="5"/>
        <v>1</v>
      </c>
      <c r="R178">
        <f>VALUE(_xlfn.TEXTBEFORE(A178, {"L","R"}, , , , A178))</f>
        <v>950</v>
      </c>
      <c r="S178" t="str">
        <f t="shared" si="4"/>
        <v>95020251121</v>
      </c>
    </row>
    <row r="179" spans="1:19" x14ac:dyDescent="0.3">
      <c r="A179" t="s">
        <v>38</v>
      </c>
      <c r="B179" t="s">
        <v>123</v>
      </c>
      <c r="C179">
        <v>47.5</v>
      </c>
      <c r="D179">
        <v>52.5</v>
      </c>
      <c r="E179">
        <v>0</v>
      </c>
      <c r="F179">
        <v>0</v>
      </c>
      <c r="G179">
        <v>57</v>
      </c>
      <c r="H179">
        <v>63</v>
      </c>
      <c r="I179">
        <v>120</v>
      </c>
      <c r="J179">
        <v>120</v>
      </c>
      <c r="K179">
        <v>0</v>
      </c>
      <c r="L179">
        <v>0</v>
      </c>
      <c r="M179">
        <v>0.16252631578946669</v>
      </c>
      <c r="N179">
        <v>0.14961904761904152</v>
      </c>
      <c r="O179">
        <f>_xlfn.XLOOKUP(S179, AnglePowerMatching!$H:$H, AnglePowerMatching!$C:$C, "NaN")</f>
        <v>16</v>
      </c>
      <c r="P179" t="str">
        <f>_xlfn.XLOOKUP(S179, AnglePowerMatching!$H:$H, AnglePowerMatching!$D:$D, "NaN")</f>
        <v>10 masker</v>
      </c>
      <c r="Q179" t="b">
        <f t="shared" si="5"/>
        <v>1</v>
      </c>
      <c r="R179">
        <f>VALUE(_xlfn.TEXTBEFORE(A179, {"L","R"}, , , , A179))</f>
        <v>950</v>
      </c>
      <c r="S179" t="str">
        <f t="shared" si="4"/>
        <v>95020251204</v>
      </c>
    </row>
    <row r="180" spans="1:19" x14ac:dyDescent="0.3">
      <c r="A180" t="s">
        <v>38</v>
      </c>
      <c r="B180" t="s">
        <v>45</v>
      </c>
      <c r="C180">
        <v>63.636363636363633</v>
      </c>
      <c r="D180">
        <v>53.719008264462808</v>
      </c>
      <c r="E180">
        <v>0</v>
      </c>
      <c r="F180">
        <v>0</v>
      </c>
      <c r="G180">
        <v>77</v>
      </c>
      <c r="H180">
        <v>65</v>
      </c>
      <c r="I180">
        <v>121</v>
      </c>
      <c r="J180">
        <v>121</v>
      </c>
      <c r="K180">
        <v>0</v>
      </c>
      <c r="L180">
        <v>0</v>
      </c>
      <c r="M180">
        <v>0.24016883116881615</v>
      </c>
      <c r="N180">
        <v>0.24736923076921016</v>
      </c>
      <c r="O180">
        <f>_xlfn.XLOOKUP(S180, AnglePowerMatching!$H:$H, AnglePowerMatching!$C:$C, "NaN")</f>
        <v>66</v>
      </c>
      <c r="P180">
        <f>_xlfn.XLOOKUP(S180, AnglePowerMatching!$H:$H, AnglePowerMatching!$D:$D, "NaN")</f>
        <v>3</v>
      </c>
      <c r="Q180" t="b">
        <f t="shared" si="5"/>
        <v>1</v>
      </c>
      <c r="R180">
        <f>VALUE(_xlfn.TEXTBEFORE(A180, {"L","R"}, , , , A180))</f>
        <v>950</v>
      </c>
      <c r="S180" t="str">
        <f t="shared" si="4"/>
        <v>95020251215</v>
      </c>
    </row>
    <row r="181" spans="1:19" x14ac:dyDescent="0.3">
      <c r="A181" t="s">
        <v>38</v>
      </c>
      <c r="B181" t="s">
        <v>46</v>
      </c>
      <c r="C181">
        <v>0</v>
      </c>
      <c r="E181">
        <v>119</v>
      </c>
      <c r="F181">
        <v>120</v>
      </c>
      <c r="G181">
        <v>0</v>
      </c>
      <c r="H181">
        <v>0</v>
      </c>
      <c r="I181">
        <v>120</v>
      </c>
      <c r="J181">
        <v>120</v>
      </c>
      <c r="K181">
        <v>99.166666666666671</v>
      </c>
      <c r="L181">
        <v>100</v>
      </c>
      <c r="O181" t="str">
        <f>_xlfn.XLOOKUP(S181, AnglePowerMatching!$H:$H, AnglePowerMatching!$C:$C, "NaN")</f>
        <v>NaN</v>
      </c>
      <c r="P181" t="str">
        <f>_xlfn.XLOOKUP(S181, AnglePowerMatching!$H:$H, AnglePowerMatching!$D:$D, "NaN")</f>
        <v>NaN</v>
      </c>
      <c r="Q181" t="b">
        <f t="shared" si="5"/>
        <v>0</v>
      </c>
      <c r="R181">
        <f>VALUE(_xlfn.TEXTBEFORE(A181, {"L","R"}, , , , A181))</f>
        <v>950</v>
      </c>
      <c r="S181" t="str">
        <f t="shared" si="4"/>
        <v>95020251216</v>
      </c>
    </row>
    <row r="182" spans="1:19" x14ac:dyDescent="0.3">
      <c r="A182" t="s">
        <v>38</v>
      </c>
      <c r="B182" t="s">
        <v>47</v>
      </c>
      <c r="C182">
        <v>61.157024793388423</v>
      </c>
      <c r="D182">
        <v>64.754098360655746</v>
      </c>
      <c r="E182">
        <v>0</v>
      </c>
      <c r="F182">
        <v>0</v>
      </c>
      <c r="G182">
        <v>74</v>
      </c>
      <c r="H182">
        <v>79</v>
      </c>
      <c r="I182">
        <v>121</v>
      </c>
      <c r="J182">
        <v>122</v>
      </c>
      <c r="K182">
        <v>0</v>
      </c>
      <c r="L182">
        <v>0</v>
      </c>
      <c r="M182">
        <v>0.25068918918919936</v>
      </c>
      <c r="N182">
        <v>0.24381012658229201</v>
      </c>
      <c r="O182">
        <f>_xlfn.XLOOKUP(S182, AnglePowerMatching!$H:$H, AnglePowerMatching!$C:$C, "NaN")</f>
        <v>66</v>
      </c>
      <c r="P182">
        <f>_xlfn.XLOOKUP(S182, AnglePowerMatching!$H:$H, AnglePowerMatching!$D:$D, "NaN")</f>
        <v>3</v>
      </c>
      <c r="Q182" t="b">
        <f t="shared" si="5"/>
        <v>1</v>
      </c>
      <c r="R182">
        <f>VALUE(_xlfn.TEXTBEFORE(A182, {"L","R"}, , , , A182))</f>
        <v>950</v>
      </c>
      <c r="S182" t="str">
        <f t="shared" si="4"/>
        <v>95020251217</v>
      </c>
    </row>
    <row r="183" spans="1:19" x14ac:dyDescent="0.3">
      <c r="A183" t="s">
        <v>38</v>
      </c>
      <c r="B183" t="s">
        <v>48</v>
      </c>
      <c r="C183">
        <v>48.760330578512395</v>
      </c>
      <c r="D183">
        <v>47.457627118644069</v>
      </c>
      <c r="E183">
        <v>0</v>
      </c>
      <c r="F183">
        <v>2</v>
      </c>
      <c r="G183">
        <v>59</v>
      </c>
      <c r="H183">
        <v>56</v>
      </c>
      <c r="I183">
        <v>121</v>
      </c>
      <c r="J183">
        <v>120</v>
      </c>
      <c r="K183">
        <v>0</v>
      </c>
      <c r="L183">
        <v>1.6666666666666667</v>
      </c>
      <c r="M183">
        <v>0.19337288135594852</v>
      </c>
      <c r="N183">
        <v>0.17480357142857367</v>
      </c>
      <c r="O183">
        <f>_xlfn.XLOOKUP(S183, AnglePowerMatching!$H:$H, AnglePowerMatching!$C:$C, "NaN")</f>
        <v>66</v>
      </c>
      <c r="P183" t="str">
        <f>_xlfn.XLOOKUP(S183, AnglePowerMatching!$H:$H, AnglePowerMatching!$D:$D, "NaN")</f>
        <v>5 masker</v>
      </c>
      <c r="Q183" t="b">
        <f t="shared" si="5"/>
        <v>1</v>
      </c>
      <c r="R183">
        <f>VALUE(_xlfn.TEXTBEFORE(A183, {"L","R"}, , , , A183))</f>
        <v>950</v>
      </c>
      <c r="S183" t="str">
        <f t="shared" si="4"/>
        <v>95020251218</v>
      </c>
    </row>
    <row r="184" spans="1:19" x14ac:dyDescent="0.3">
      <c r="A184" t="s">
        <v>38</v>
      </c>
      <c r="B184" t="s">
        <v>49</v>
      </c>
      <c r="C184">
        <v>71.666666666666671</v>
      </c>
      <c r="D184">
        <v>81.666666666666671</v>
      </c>
      <c r="E184">
        <v>0</v>
      </c>
      <c r="F184">
        <v>0</v>
      </c>
      <c r="G184">
        <v>86</v>
      </c>
      <c r="H184">
        <v>98</v>
      </c>
      <c r="I184">
        <v>120</v>
      </c>
      <c r="J184">
        <v>120</v>
      </c>
      <c r="K184">
        <v>0</v>
      </c>
      <c r="L184">
        <v>0</v>
      </c>
      <c r="M184">
        <v>0.33126744186046841</v>
      </c>
      <c r="N184">
        <v>0.33949999999999886</v>
      </c>
      <c r="O184">
        <f>_xlfn.XLOOKUP(S184, AnglePowerMatching!$H:$H, AnglePowerMatching!$C:$C, "NaN")</f>
        <v>90</v>
      </c>
      <c r="P184">
        <f>_xlfn.XLOOKUP(S184, AnglePowerMatching!$H:$H, AnglePowerMatching!$D:$D, "NaN")</f>
        <v>5</v>
      </c>
      <c r="Q184" t="b">
        <f t="shared" si="5"/>
        <v>1</v>
      </c>
      <c r="R184">
        <f>VALUE(_xlfn.TEXTBEFORE(A184, {"L","R"}, , , , A184))</f>
        <v>950</v>
      </c>
      <c r="S184" t="str">
        <f t="shared" si="4"/>
        <v>95020251230</v>
      </c>
    </row>
    <row r="185" spans="1:19" x14ac:dyDescent="0.3">
      <c r="A185" t="s">
        <v>38</v>
      </c>
      <c r="B185" t="s">
        <v>50</v>
      </c>
      <c r="C185">
        <v>71.05263157894737</v>
      </c>
      <c r="D185">
        <v>74.107142857142861</v>
      </c>
      <c r="E185">
        <v>6</v>
      </c>
      <c r="F185">
        <v>8</v>
      </c>
      <c r="G185">
        <v>81</v>
      </c>
      <c r="H185">
        <v>83</v>
      </c>
      <c r="I185">
        <v>120</v>
      </c>
      <c r="J185">
        <v>120</v>
      </c>
      <c r="K185">
        <v>5</v>
      </c>
      <c r="L185">
        <v>6.666666666666667</v>
      </c>
      <c r="M185">
        <v>0.38628395061727011</v>
      </c>
      <c r="N185">
        <v>0.38574698795180229</v>
      </c>
      <c r="O185">
        <f>_xlfn.XLOOKUP(S185, AnglePowerMatching!$H:$H, AnglePowerMatching!$C:$C, "NaN")</f>
        <v>90</v>
      </c>
      <c r="P185">
        <f>_xlfn.XLOOKUP(S185, AnglePowerMatching!$H:$H, AnglePowerMatching!$D:$D, "NaN")</f>
        <v>10</v>
      </c>
      <c r="Q185" t="b">
        <f t="shared" si="5"/>
        <v>1</v>
      </c>
      <c r="R185">
        <f>VALUE(_xlfn.TEXTBEFORE(A185, {"L","R"}, , , , A185))</f>
        <v>950</v>
      </c>
      <c r="S185" t="str">
        <f t="shared" si="4"/>
        <v>95020251231</v>
      </c>
    </row>
    <row r="186" spans="1:19" x14ac:dyDescent="0.3">
      <c r="A186" t="s">
        <v>38</v>
      </c>
      <c r="B186" t="s">
        <v>126</v>
      </c>
      <c r="C186">
        <v>81.666666666666671</v>
      </c>
      <c r="D186">
        <v>75.833333333333329</v>
      </c>
      <c r="E186">
        <v>0</v>
      </c>
      <c r="F186">
        <v>0</v>
      </c>
      <c r="G186">
        <v>98</v>
      </c>
      <c r="H186">
        <v>91</v>
      </c>
      <c r="I186">
        <v>120</v>
      </c>
      <c r="J186">
        <v>120</v>
      </c>
      <c r="K186">
        <v>0</v>
      </c>
      <c r="L186">
        <v>0</v>
      </c>
      <c r="M186">
        <v>0.39845918367347338</v>
      </c>
      <c r="N186">
        <v>0.42502197802198038</v>
      </c>
      <c r="O186">
        <f>_xlfn.XLOOKUP(S186, AnglePowerMatching!$H:$H, AnglePowerMatching!$C:$C, "NaN")</f>
        <v>66</v>
      </c>
      <c r="P186" t="str">
        <f>_xlfn.XLOOKUP(S186, AnglePowerMatching!$H:$H, AnglePowerMatching!$D:$D, "NaN")</f>
        <v>3 masker</v>
      </c>
      <c r="Q186" t="b">
        <f t="shared" si="5"/>
        <v>1</v>
      </c>
      <c r="R186">
        <f>VALUE(_xlfn.TEXTBEFORE(A186, {"L","R"}, , , , A186))</f>
        <v>950</v>
      </c>
      <c r="S186" t="str">
        <f t="shared" si="4"/>
        <v>95020260112</v>
      </c>
    </row>
    <row r="187" spans="1:19" x14ac:dyDescent="0.3">
      <c r="A187" t="s">
        <v>38</v>
      </c>
      <c r="B187" t="s">
        <v>85</v>
      </c>
      <c r="C187">
        <v>75.221238938053091</v>
      </c>
      <c r="D187">
        <v>75</v>
      </c>
      <c r="E187">
        <v>7</v>
      </c>
      <c r="F187">
        <v>12</v>
      </c>
      <c r="G187">
        <v>85</v>
      </c>
      <c r="H187">
        <v>81</v>
      </c>
      <c r="I187">
        <v>120</v>
      </c>
      <c r="J187">
        <v>120</v>
      </c>
      <c r="K187">
        <v>5.833333333333333</v>
      </c>
      <c r="L187">
        <v>10</v>
      </c>
      <c r="M187">
        <v>0.62465882352940483</v>
      </c>
      <c r="N187">
        <v>0.5801728395061635</v>
      </c>
      <c r="O187">
        <f>_xlfn.XLOOKUP(S187, AnglePowerMatching!$H:$H, AnglePowerMatching!$C:$C, "NaN")</f>
        <v>66</v>
      </c>
      <c r="P187" t="str">
        <f>_xlfn.XLOOKUP(S187, AnglePowerMatching!$H:$H, AnglePowerMatching!$D:$D, "NaN")</f>
        <v>5 masker</v>
      </c>
      <c r="Q187" t="b">
        <f t="shared" si="5"/>
        <v>1</v>
      </c>
      <c r="R187">
        <f>VALUE(_xlfn.TEXTBEFORE(A187, {"L","R"}, , , , A187))</f>
        <v>950</v>
      </c>
      <c r="S187" t="str">
        <f t="shared" si="4"/>
        <v>95020260113</v>
      </c>
    </row>
    <row r="188" spans="1:19" x14ac:dyDescent="0.3">
      <c r="A188" t="s">
        <v>38</v>
      </c>
      <c r="B188" t="s">
        <v>86</v>
      </c>
      <c r="C188">
        <v>67.521367521367523</v>
      </c>
      <c r="D188">
        <v>70.085470085470078</v>
      </c>
      <c r="E188">
        <v>3</v>
      </c>
      <c r="F188">
        <v>3</v>
      </c>
      <c r="G188">
        <v>79</v>
      </c>
      <c r="H188">
        <v>82</v>
      </c>
      <c r="I188">
        <v>120</v>
      </c>
      <c r="J188">
        <v>120</v>
      </c>
      <c r="K188">
        <v>2.5</v>
      </c>
      <c r="L188">
        <v>2.5</v>
      </c>
      <c r="M188">
        <v>0.40256962025315618</v>
      </c>
      <c r="N188">
        <v>0.38843902439024597</v>
      </c>
      <c r="O188">
        <f>_xlfn.XLOOKUP(S188, AnglePowerMatching!$H:$H, AnglePowerMatching!$C:$C, "NaN")</f>
        <v>66</v>
      </c>
      <c r="P188" t="str">
        <f>_xlfn.XLOOKUP(S188, AnglePowerMatching!$H:$H, AnglePowerMatching!$D:$D, "NaN")</f>
        <v>10 masker</v>
      </c>
      <c r="Q188" t="b">
        <f t="shared" si="5"/>
        <v>1</v>
      </c>
      <c r="R188">
        <f>VALUE(_xlfn.TEXTBEFORE(A188, {"L","R"}, , , , A188))</f>
        <v>950</v>
      </c>
      <c r="S188" t="str">
        <f t="shared" si="4"/>
        <v>95020260114</v>
      </c>
    </row>
    <row r="189" spans="1:19" x14ac:dyDescent="0.3">
      <c r="A189" t="s">
        <v>31</v>
      </c>
      <c r="B189" t="s">
        <v>108</v>
      </c>
      <c r="C189">
        <v>93.103448275862064</v>
      </c>
      <c r="D189">
        <v>87.368421052631589</v>
      </c>
      <c r="E189">
        <v>37</v>
      </c>
      <c r="F189">
        <v>29</v>
      </c>
      <c r="G189">
        <v>81</v>
      </c>
      <c r="H189">
        <v>83</v>
      </c>
      <c r="I189">
        <v>124</v>
      </c>
      <c r="J189">
        <v>124</v>
      </c>
      <c r="K189">
        <v>29.838709677419356</v>
      </c>
      <c r="L189">
        <v>23.387096774193548</v>
      </c>
      <c r="M189">
        <v>0.63844444444444692</v>
      </c>
      <c r="N189">
        <v>0.5775060240963964</v>
      </c>
      <c r="O189">
        <f>_xlfn.XLOOKUP(S189, AnglePowerMatching!$H:$H, AnglePowerMatching!$C:$C, "NaN")</f>
        <v>66</v>
      </c>
      <c r="P189">
        <f>_xlfn.XLOOKUP(S189, AnglePowerMatching!$H:$H, AnglePowerMatching!$D:$D, "NaN")</f>
        <v>3</v>
      </c>
      <c r="Q189" t="b">
        <f t="shared" si="5"/>
        <v>1</v>
      </c>
      <c r="R189">
        <f>VALUE(_xlfn.TEXTBEFORE(A189, {"L","R"}, , , , A189))</f>
        <v>950</v>
      </c>
      <c r="S189" t="str">
        <f t="shared" si="4"/>
        <v>95020250813</v>
      </c>
    </row>
    <row r="190" spans="1:19" x14ac:dyDescent="0.3">
      <c r="A190" t="s">
        <v>31</v>
      </c>
      <c r="B190" t="s">
        <v>109</v>
      </c>
      <c r="C190">
        <v>85.714285714285708</v>
      </c>
      <c r="D190">
        <v>77.884615384615387</v>
      </c>
      <c r="E190">
        <v>16</v>
      </c>
      <c r="F190">
        <v>10</v>
      </c>
      <c r="G190">
        <v>84</v>
      </c>
      <c r="H190">
        <v>81</v>
      </c>
      <c r="I190">
        <v>114</v>
      </c>
      <c r="J190">
        <v>114</v>
      </c>
      <c r="K190">
        <v>14.035087719298245</v>
      </c>
      <c r="L190">
        <v>8.7719298245614024</v>
      </c>
      <c r="M190">
        <v>0.40202380952380928</v>
      </c>
      <c r="N190">
        <v>0.48335802469135608</v>
      </c>
      <c r="O190">
        <f>_xlfn.XLOOKUP(S190, AnglePowerMatching!$H:$H, AnglePowerMatching!$C:$C, "NaN")</f>
        <v>66</v>
      </c>
      <c r="P190">
        <f>_xlfn.XLOOKUP(S190, AnglePowerMatching!$H:$H, AnglePowerMatching!$D:$D, "NaN")</f>
        <v>5</v>
      </c>
      <c r="Q190" t="b">
        <f t="shared" si="5"/>
        <v>1</v>
      </c>
      <c r="R190">
        <f>VALUE(_xlfn.TEXTBEFORE(A190, {"L","R"}, , , , A190))</f>
        <v>950</v>
      </c>
      <c r="S190" t="str">
        <f t="shared" si="4"/>
        <v>95020250814</v>
      </c>
    </row>
    <row r="191" spans="1:19" x14ac:dyDescent="0.3">
      <c r="A191" t="s">
        <v>31</v>
      </c>
      <c r="B191" t="s">
        <v>110</v>
      </c>
      <c r="C191">
        <v>89.81481481481481</v>
      </c>
      <c r="D191">
        <v>89.908256880733944</v>
      </c>
      <c r="E191">
        <v>16</v>
      </c>
      <c r="F191">
        <v>15</v>
      </c>
      <c r="G191">
        <v>97</v>
      </c>
      <c r="H191">
        <v>98</v>
      </c>
      <c r="I191">
        <v>124</v>
      </c>
      <c r="J191">
        <v>124</v>
      </c>
      <c r="K191">
        <v>12.903225806451612</v>
      </c>
      <c r="L191">
        <v>12.096774193548388</v>
      </c>
      <c r="M191">
        <v>0.58158762886597892</v>
      </c>
      <c r="N191">
        <v>0.47005102040816943</v>
      </c>
      <c r="O191">
        <f>_xlfn.XLOOKUP(S191, AnglePowerMatching!$H:$H, AnglePowerMatching!$C:$C, "NaN")</f>
        <v>66</v>
      </c>
      <c r="P191">
        <f>_xlfn.XLOOKUP(S191, AnglePowerMatching!$H:$H, AnglePowerMatching!$D:$D, "NaN")</f>
        <v>10</v>
      </c>
      <c r="Q191" t="b">
        <f t="shared" si="5"/>
        <v>1</v>
      </c>
      <c r="R191">
        <f>VALUE(_xlfn.TEXTBEFORE(A191, {"L","R"}, , , , A191))</f>
        <v>950</v>
      </c>
      <c r="S191" t="str">
        <f t="shared" si="4"/>
        <v>95020250815</v>
      </c>
    </row>
    <row r="192" spans="1:19" x14ac:dyDescent="0.3">
      <c r="A192" t="s">
        <v>31</v>
      </c>
      <c r="B192" t="s">
        <v>111</v>
      </c>
      <c r="C192">
        <v>77.966101694915253</v>
      </c>
      <c r="D192">
        <v>81.818181818181827</v>
      </c>
      <c r="E192">
        <v>2</v>
      </c>
      <c r="F192">
        <v>10</v>
      </c>
      <c r="G192">
        <v>92</v>
      </c>
      <c r="H192">
        <v>90</v>
      </c>
      <c r="I192">
        <v>120</v>
      </c>
      <c r="J192">
        <v>120</v>
      </c>
      <c r="K192">
        <v>1.6666666666666667</v>
      </c>
      <c r="L192">
        <v>8.3333333333333321</v>
      </c>
      <c r="M192">
        <v>0.58092391304348301</v>
      </c>
      <c r="N192">
        <v>0.52676666666666139</v>
      </c>
      <c r="O192" t="str">
        <f>_xlfn.XLOOKUP(S192, AnglePowerMatching!$H:$H, AnglePowerMatching!$C:$C, "NaN")</f>
        <v>NaN</v>
      </c>
      <c r="P192" t="str">
        <f>_xlfn.XLOOKUP(S192, AnglePowerMatching!$H:$H, AnglePowerMatching!$D:$D, "NaN")</f>
        <v>NaN</v>
      </c>
      <c r="Q192" t="b">
        <f t="shared" si="5"/>
        <v>1</v>
      </c>
      <c r="R192">
        <f>VALUE(_xlfn.TEXTBEFORE(A192, {"L","R"}, , , , A192))</f>
        <v>950</v>
      </c>
      <c r="S192" t="str">
        <f t="shared" si="4"/>
        <v>95020250816</v>
      </c>
    </row>
    <row r="193" spans="1:19" x14ac:dyDescent="0.3">
      <c r="A193" t="s">
        <v>31</v>
      </c>
      <c r="B193" t="s">
        <v>112</v>
      </c>
      <c r="C193">
        <v>91.578947368421055</v>
      </c>
      <c r="D193">
        <v>87.878787878787875</v>
      </c>
      <c r="E193">
        <v>38</v>
      </c>
      <c r="F193">
        <v>35</v>
      </c>
      <c r="G193">
        <v>87</v>
      </c>
      <c r="H193">
        <v>87</v>
      </c>
      <c r="I193">
        <v>133</v>
      </c>
      <c r="J193">
        <v>134</v>
      </c>
      <c r="K193">
        <v>28.571428571428569</v>
      </c>
      <c r="L193">
        <v>26.119402985074625</v>
      </c>
      <c r="M193">
        <v>0.59740229885056517</v>
      </c>
      <c r="N193">
        <v>0.62835632183907464</v>
      </c>
      <c r="O193" t="str">
        <f>_xlfn.XLOOKUP(S193, AnglePowerMatching!$H:$H, AnglePowerMatching!$C:$C, "NaN")</f>
        <v>NaN</v>
      </c>
      <c r="P193" t="str">
        <f>_xlfn.XLOOKUP(S193, AnglePowerMatching!$H:$H, AnglePowerMatching!$D:$D, "NaN")</f>
        <v>NaN</v>
      </c>
      <c r="Q193" t="b">
        <f t="shared" si="5"/>
        <v>1</v>
      </c>
      <c r="R193">
        <f>VALUE(_xlfn.TEXTBEFORE(A193, {"L","R"}, , , , A193))</f>
        <v>950</v>
      </c>
      <c r="S193" t="str">
        <f t="shared" si="4"/>
        <v>95020250817</v>
      </c>
    </row>
    <row r="194" spans="1:19" x14ac:dyDescent="0.3">
      <c r="A194" t="s">
        <v>31</v>
      </c>
      <c r="B194" t="s">
        <v>112</v>
      </c>
      <c r="D194">
        <v>0</v>
      </c>
      <c r="E194">
        <v>12</v>
      </c>
      <c r="F194">
        <v>11</v>
      </c>
      <c r="G194">
        <v>0</v>
      </c>
      <c r="H194">
        <v>0</v>
      </c>
      <c r="I194">
        <v>12</v>
      </c>
      <c r="J194">
        <v>12</v>
      </c>
      <c r="K194">
        <v>100</v>
      </c>
      <c r="L194">
        <v>91.666666666666657</v>
      </c>
      <c r="O194" t="str">
        <f>_xlfn.XLOOKUP(S194, AnglePowerMatching!$H:$H, AnglePowerMatching!$C:$C, "NaN")</f>
        <v>NaN</v>
      </c>
      <c r="P194" t="str">
        <f>_xlfn.XLOOKUP(S194, AnglePowerMatching!$H:$H, AnglePowerMatching!$D:$D, "NaN")</f>
        <v>NaN</v>
      </c>
      <c r="Q194" t="b">
        <f t="shared" si="5"/>
        <v>0</v>
      </c>
      <c r="R194">
        <f>VALUE(_xlfn.TEXTBEFORE(A194, {"L","R"}, , , , A194))</f>
        <v>950</v>
      </c>
      <c r="S194" t="str">
        <f t="shared" ref="S194:S246" si="6">R194 &amp; TEXT(B194, "yyyymmdd")</f>
        <v>95020250817</v>
      </c>
    </row>
    <row r="195" spans="1:19" x14ac:dyDescent="0.3">
      <c r="A195" t="s">
        <v>31</v>
      </c>
      <c r="B195" t="s">
        <v>113</v>
      </c>
      <c r="C195">
        <v>89.430894308943081</v>
      </c>
      <c r="D195">
        <v>80.487804878048792</v>
      </c>
      <c r="E195">
        <v>13</v>
      </c>
      <c r="F195">
        <v>13</v>
      </c>
      <c r="G195">
        <v>110</v>
      </c>
      <c r="H195">
        <v>99</v>
      </c>
      <c r="I195">
        <v>136</v>
      </c>
      <c r="J195">
        <v>136</v>
      </c>
      <c r="K195">
        <v>9.5588235294117645</v>
      </c>
      <c r="L195">
        <v>9.5588235294117645</v>
      </c>
      <c r="M195">
        <v>0.38036363636363379</v>
      </c>
      <c r="N195">
        <v>0.37775757575759067</v>
      </c>
      <c r="O195" t="str">
        <f>_xlfn.XLOOKUP(S195, AnglePowerMatching!$H:$H, AnglePowerMatching!$C:$C, "NaN")</f>
        <v>NaN</v>
      </c>
      <c r="P195" t="str">
        <f>_xlfn.XLOOKUP(S195, AnglePowerMatching!$H:$H, AnglePowerMatching!$D:$D, "NaN")</f>
        <v>NaN</v>
      </c>
      <c r="Q195" t="b">
        <f t="shared" ref="Q195:Q246" si="7">NOT(OR(C195=0,D195=0))</f>
        <v>1</v>
      </c>
      <c r="R195">
        <f>VALUE(_xlfn.TEXTBEFORE(A195, {"L","R"}, , , , A195))</f>
        <v>950</v>
      </c>
      <c r="S195" t="str">
        <f t="shared" si="6"/>
        <v>95020250819</v>
      </c>
    </row>
    <row r="196" spans="1:19" x14ac:dyDescent="0.3">
      <c r="A196" t="s">
        <v>31</v>
      </c>
      <c r="B196" t="s">
        <v>114</v>
      </c>
      <c r="C196">
        <v>93.693693693693689</v>
      </c>
      <c r="D196">
        <v>94.545454545454547</v>
      </c>
      <c r="E196">
        <v>12</v>
      </c>
      <c r="F196">
        <v>13</v>
      </c>
      <c r="G196">
        <v>104</v>
      </c>
      <c r="H196">
        <v>104</v>
      </c>
      <c r="I196">
        <v>123</v>
      </c>
      <c r="J196">
        <v>123</v>
      </c>
      <c r="K196">
        <v>9.7560975609756095</v>
      </c>
      <c r="L196">
        <v>10.569105691056912</v>
      </c>
      <c r="M196">
        <v>0.43649038461539252</v>
      </c>
      <c r="N196">
        <v>0.4259230769230804</v>
      </c>
      <c r="O196">
        <f>_xlfn.XLOOKUP(S196, AnglePowerMatching!$H:$H, AnglePowerMatching!$C:$C, "NaN")</f>
        <v>90</v>
      </c>
      <c r="P196">
        <f>_xlfn.XLOOKUP(S196, AnglePowerMatching!$H:$H, AnglePowerMatching!$D:$D, "NaN")</f>
        <v>3</v>
      </c>
      <c r="Q196" t="b">
        <f t="shared" si="7"/>
        <v>1</v>
      </c>
      <c r="R196">
        <f>VALUE(_xlfn.TEXTBEFORE(A196, {"L","R"}, , , , A196))</f>
        <v>950</v>
      </c>
      <c r="S196" t="str">
        <f t="shared" si="6"/>
        <v>95020250820</v>
      </c>
    </row>
    <row r="197" spans="1:19" x14ac:dyDescent="0.3">
      <c r="A197" t="s">
        <v>31</v>
      </c>
      <c r="B197" t="s">
        <v>115</v>
      </c>
      <c r="C197">
        <v>88.073394495412856</v>
      </c>
      <c r="D197">
        <v>86.842105263157904</v>
      </c>
      <c r="E197">
        <v>24</v>
      </c>
      <c r="F197">
        <v>18</v>
      </c>
      <c r="G197">
        <v>96</v>
      </c>
      <c r="H197">
        <v>99</v>
      </c>
      <c r="I197">
        <v>133</v>
      </c>
      <c r="J197">
        <v>132</v>
      </c>
      <c r="K197">
        <v>18.045112781954884</v>
      </c>
      <c r="L197">
        <v>13.636363636363635</v>
      </c>
      <c r="M197">
        <v>0.37583333333333951</v>
      </c>
      <c r="N197">
        <v>0.36998989898990964</v>
      </c>
      <c r="O197">
        <f>_xlfn.XLOOKUP(S197, AnglePowerMatching!$H:$H, AnglePowerMatching!$C:$C, "NaN")</f>
        <v>90</v>
      </c>
      <c r="P197">
        <f>_xlfn.XLOOKUP(S197, AnglePowerMatching!$H:$H, AnglePowerMatching!$D:$D, "NaN")</f>
        <v>5</v>
      </c>
      <c r="Q197" t="b">
        <f t="shared" si="7"/>
        <v>1</v>
      </c>
      <c r="R197">
        <f>VALUE(_xlfn.TEXTBEFORE(A197, {"L","R"}, , , , A197))</f>
        <v>950</v>
      </c>
      <c r="S197" t="str">
        <f t="shared" si="6"/>
        <v>95020250821</v>
      </c>
    </row>
    <row r="198" spans="1:19" x14ac:dyDescent="0.3">
      <c r="A198" t="s">
        <v>31</v>
      </c>
      <c r="B198" t="s">
        <v>116</v>
      </c>
      <c r="C198">
        <v>100</v>
      </c>
      <c r="D198">
        <v>33.333333333333329</v>
      </c>
      <c r="E198">
        <v>0</v>
      </c>
      <c r="F198">
        <v>0</v>
      </c>
      <c r="G198">
        <v>2</v>
      </c>
      <c r="H198">
        <v>1</v>
      </c>
      <c r="I198">
        <v>2</v>
      </c>
      <c r="J198">
        <v>3</v>
      </c>
      <c r="K198">
        <v>0</v>
      </c>
      <c r="L198">
        <v>0</v>
      </c>
      <c r="M198">
        <v>0.31800000000000139</v>
      </c>
      <c r="N198">
        <v>8.0000000000000071E-2</v>
      </c>
      <c r="O198">
        <f>_xlfn.XLOOKUP(S198, AnglePowerMatching!$H:$H, AnglePowerMatching!$C:$C, "NaN")</f>
        <v>90</v>
      </c>
      <c r="P198">
        <f>_xlfn.XLOOKUP(S198, AnglePowerMatching!$H:$H, AnglePowerMatching!$D:$D, "NaN")</f>
        <v>10</v>
      </c>
      <c r="Q198" t="b">
        <f t="shared" si="7"/>
        <v>1</v>
      </c>
      <c r="R198">
        <f>VALUE(_xlfn.TEXTBEFORE(A198, {"L","R"}, , , , A198))</f>
        <v>950</v>
      </c>
      <c r="S198" t="str">
        <f t="shared" si="6"/>
        <v>95020250822</v>
      </c>
    </row>
    <row r="199" spans="1:19" x14ac:dyDescent="0.3">
      <c r="A199" t="s">
        <v>31</v>
      </c>
      <c r="B199" t="s">
        <v>116</v>
      </c>
      <c r="C199">
        <v>94.495412844036693</v>
      </c>
      <c r="D199">
        <v>90.476190476190482</v>
      </c>
      <c r="E199">
        <v>13</v>
      </c>
      <c r="F199">
        <v>19</v>
      </c>
      <c r="G199">
        <v>103</v>
      </c>
      <c r="H199">
        <v>95</v>
      </c>
      <c r="I199">
        <v>122</v>
      </c>
      <c r="J199">
        <v>124</v>
      </c>
      <c r="K199">
        <v>10.655737704918032</v>
      </c>
      <c r="L199">
        <v>15.32258064516129</v>
      </c>
      <c r="M199">
        <v>0.60800970873786198</v>
      </c>
      <c r="N199">
        <v>0.6054526315789438</v>
      </c>
      <c r="O199">
        <f>_xlfn.XLOOKUP(S199, AnglePowerMatching!$H:$H, AnglePowerMatching!$C:$C, "NaN")</f>
        <v>90</v>
      </c>
      <c r="P199">
        <f>_xlfn.XLOOKUP(S199, AnglePowerMatching!$H:$H, AnglePowerMatching!$D:$D, "NaN")</f>
        <v>10</v>
      </c>
      <c r="Q199" t="b">
        <f t="shared" si="7"/>
        <v>1</v>
      </c>
      <c r="R199">
        <f>VALUE(_xlfn.TEXTBEFORE(A199, {"L","R"}, , , , A199))</f>
        <v>950</v>
      </c>
      <c r="S199" t="str">
        <f t="shared" si="6"/>
        <v>95020250822</v>
      </c>
    </row>
    <row r="200" spans="1:19" x14ac:dyDescent="0.3">
      <c r="A200" t="s">
        <v>31</v>
      </c>
      <c r="B200" t="s">
        <v>117</v>
      </c>
      <c r="C200">
        <v>93.693693693693689</v>
      </c>
      <c r="D200">
        <v>85.840707964601776</v>
      </c>
      <c r="E200">
        <v>9</v>
      </c>
      <c r="F200">
        <v>7</v>
      </c>
      <c r="G200">
        <v>104</v>
      </c>
      <c r="H200">
        <v>97</v>
      </c>
      <c r="I200">
        <v>120</v>
      </c>
      <c r="J200">
        <v>120</v>
      </c>
      <c r="K200">
        <v>7.5</v>
      </c>
      <c r="L200">
        <v>5.833333333333333</v>
      </c>
      <c r="M200">
        <v>0.46760576923078112</v>
      </c>
      <c r="N200">
        <v>0.45506185567010871</v>
      </c>
      <c r="O200">
        <f>_xlfn.XLOOKUP(S200, AnglePowerMatching!$H:$H, AnglePowerMatching!$C:$C, "NaN")</f>
        <v>35</v>
      </c>
      <c r="P200">
        <f>_xlfn.XLOOKUP(S200, AnglePowerMatching!$H:$H, AnglePowerMatching!$D:$D, "NaN")</f>
        <v>3</v>
      </c>
      <c r="Q200" t="b">
        <f t="shared" si="7"/>
        <v>1</v>
      </c>
      <c r="R200">
        <f>VALUE(_xlfn.TEXTBEFORE(A200, {"L","R"}, , , , A200))</f>
        <v>950</v>
      </c>
      <c r="S200" t="str">
        <f t="shared" si="6"/>
        <v>95020250827</v>
      </c>
    </row>
    <row r="201" spans="1:19" x14ac:dyDescent="0.3">
      <c r="A201" t="s">
        <v>31</v>
      </c>
      <c r="B201" t="s">
        <v>118</v>
      </c>
      <c r="C201">
        <v>72.033898305084747</v>
      </c>
      <c r="D201">
        <v>82.35294117647058</v>
      </c>
      <c r="E201">
        <v>2</v>
      </c>
      <c r="F201">
        <v>1</v>
      </c>
      <c r="G201">
        <v>85</v>
      </c>
      <c r="H201">
        <v>98</v>
      </c>
      <c r="I201">
        <v>120</v>
      </c>
      <c r="J201">
        <v>120</v>
      </c>
      <c r="K201">
        <v>1.6666666666666667</v>
      </c>
      <c r="L201">
        <v>0.83333333333333337</v>
      </c>
      <c r="M201">
        <v>0.30099999999999294</v>
      </c>
      <c r="N201">
        <v>0.30474489795918464</v>
      </c>
      <c r="O201">
        <f>_xlfn.XLOOKUP(S201, AnglePowerMatching!$H:$H, AnglePowerMatching!$C:$C, "NaN")</f>
        <v>35</v>
      </c>
      <c r="P201">
        <f>_xlfn.XLOOKUP(S201, AnglePowerMatching!$H:$H, AnglePowerMatching!$D:$D, "NaN")</f>
        <v>5</v>
      </c>
      <c r="Q201" t="b">
        <f t="shared" si="7"/>
        <v>1</v>
      </c>
      <c r="R201">
        <f>VALUE(_xlfn.TEXTBEFORE(A201, {"L","R"}, , , , A201))</f>
        <v>950</v>
      </c>
      <c r="S201" t="str">
        <f t="shared" si="6"/>
        <v>95020250828</v>
      </c>
    </row>
    <row r="202" spans="1:19" x14ac:dyDescent="0.3">
      <c r="A202" t="s">
        <v>31</v>
      </c>
      <c r="B202" t="s">
        <v>127</v>
      </c>
      <c r="C202">
        <v>100</v>
      </c>
      <c r="D202">
        <v>100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2</v>
      </c>
      <c r="K202">
        <v>0</v>
      </c>
      <c r="L202">
        <v>50</v>
      </c>
      <c r="M202">
        <v>0.67999999999999972</v>
      </c>
      <c r="N202">
        <v>0.54100000000000004</v>
      </c>
      <c r="O202">
        <f>_xlfn.XLOOKUP(S202, AnglePowerMatching!$H:$H, AnglePowerMatching!$C:$C, "NaN")</f>
        <v>35</v>
      </c>
      <c r="P202">
        <f>_xlfn.XLOOKUP(S202, AnglePowerMatching!$H:$H, AnglePowerMatching!$D:$D, "NaN")</f>
        <v>10</v>
      </c>
      <c r="Q202" t="b">
        <f t="shared" si="7"/>
        <v>1</v>
      </c>
      <c r="R202">
        <f>VALUE(_xlfn.TEXTBEFORE(A202, {"L","R"}, , , , A202))</f>
        <v>950</v>
      </c>
      <c r="S202" t="str">
        <f t="shared" si="6"/>
        <v>95020250829</v>
      </c>
    </row>
    <row r="203" spans="1:19" x14ac:dyDescent="0.3">
      <c r="A203" t="s">
        <v>31</v>
      </c>
      <c r="B203" t="s">
        <v>127</v>
      </c>
      <c r="C203">
        <v>50</v>
      </c>
      <c r="D203">
        <v>60</v>
      </c>
      <c r="E203">
        <v>4</v>
      </c>
      <c r="F203">
        <v>4</v>
      </c>
      <c r="G203">
        <v>2</v>
      </c>
      <c r="H203">
        <v>3</v>
      </c>
      <c r="I203">
        <v>8</v>
      </c>
      <c r="J203">
        <v>9</v>
      </c>
      <c r="K203">
        <v>50</v>
      </c>
      <c r="L203">
        <v>44.444444444444443</v>
      </c>
      <c r="M203">
        <v>0.60400000000000098</v>
      </c>
      <c r="N203">
        <v>0.4150000000000042</v>
      </c>
      <c r="O203">
        <f>_xlfn.XLOOKUP(S203, AnglePowerMatching!$H:$H, AnglePowerMatching!$C:$C, "NaN")</f>
        <v>35</v>
      </c>
      <c r="P203">
        <f>_xlfn.XLOOKUP(S203, AnglePowerMatching!$H:$H, AnglePowerMatching!$D:$D, "NaN")</f>
        <v>10</v>
      </c>
      <c r="Q203" t="b">
        <f t="shared" si="7"/>
        <v>1</v>
      </c>
      <c r="R203">
        <f>VALUE(_xlfn.TEXTBEFORE(A203, {"L","R"}, , , , A203))</f>
        <v>950</v>
      </c>
      <c r="S203" t="str">
        <f t="shared" si="6"/>
        <v>95020250829</v>
      </c>
    </row>
    <row r="204" spans="1:19" x14ac:dyDescent="0.3">
      <c r="A204" t="s">
        <v>31</v>
      </c>
      <c r="B204" t="s">
        <v>127</v>
      </c>
      <c r="C204">
        <v>89.411764705882362</v>
      </c>
      <c r="D204">
        <v>87.096774193548384</v>
      </c>
      <c r="E204">
        <v>35</v>
      </c>
      <c r="F204">
        <v>27</v>
      </c>
      <c r="G204">
        <v>76</v>
      </c>
      <c r="H204">
        <v>81</v>
      </c>
      <c r="I204">
        <v>120</v>
      </c>
      <c r="J204">
        <v>120</v>
      </c>
      <c r="K204">
        <v>29.166666666666668</v>
      </c>
      <c r="L204">
        <v>22.5</v>
      </c>
      <c r="M204">
        <v>0.68218421052632083</v>
      </c>
      <c r="N204">
        <v>0.65233333333333998</v>
      </c>
      <c r="O204">
        <f>_xlfn.XLOOKUP(S204, AnglePowerMatching!$H:$H, AnglePowerMatching!$C:$C, "NaN")</f>
        <v>35</v>
      </c>
      <c r="P204">
        <f>_xlfn.XLOOKUP(S204, AnglePowerMatching!$H:$H, AnglePowerMatching!$D:$D, "NaN")</f>
        <v>10</v>
      </c>
      <c r="Q204" t="b">
        <f t="shared" si="7"/>
        <v>1</v>
      </c>
      <c r="R204">
        <f>VALUE(_xlfn.TEXTBEFORE(A204, {"L","R"}, , , , A204))</f>
        <v>950</v>
      </c>
      <c r="S204" t="str">
        <f t="shared" si="6"/>
        <v>95020250829</v>
      </c>
    </row>
    <row r="205" spans="1:19" x14ac:dyDescent="0.3">
      <c r="A205" t="s">
        <v>31</v>
      </c>
      <c r="B205" t="s">
        <v>128</v>
      </c>
      <c r="C205">
        <v>81.034482758620683</v>
      </c>
      <c r="D205">
        <v>76.724137931034491</v>
      </c>
      <c r="E205">
        <v>4</v>
      </c>
      <c r="F205">
        <v>4</v>
      </c>
      <c r="G205">
        <v>94</v>
      </c>
      <c r="H205">
        <v>89</v>
      </c>
      <c r="I205">
        <v>120</v>
      </c>
      <c r="J205">
        <v>120</v>
      </c>
      <c r="K205">
        <v>3.3333333333333335</v>
      </c>
      <c r="L205">
        <v>3.3333333333333335</v>
      </c>
      <c r="M205">
        <v>0.37392553191489475</v>
      </c>
      <c r="N205">
        <v>0.36735955056179903</v>
      </c>
      <c r="O205">
        <f>_xlfn.XLOOKUP(S205, AnglePowerMatching!$H:$H, AnglePowerMatching!$C:$C, "NaN")</f>
        <v>26</v>
      </c>
      <c r="P205">
        <f>_xlfn.XLOOKUP(S205, AnglePowerMatching!$H:$H, AnglePowerMatching!$D:$D, "NaN")</f>
        <v>3</v>
      </c>
      <c r="Q205" t="b">
        <f t="shared" si="7"/>
        <v>1</v>
      </c>
      <c r="R205">
        <f>VALUE(_xlfn.TEXTBEFORE(A205, {"L","R"}, , , , A205))</f>
        <v>950</v>
      </c>
      <c r="S205" t="str">
        <f t="shared" si="6"/>
        <v>95020250909</v>
      </c>
    </row>
    <row r="206" spans="1:19" x14ac:dyDescent="0.3">
      <c r="A206" t="s">
        <v>31</v>
      </c>
      <c r="B206" t="s">
        <v>129</v>
      </c>
      <c r="C206">
        <v>92.5</v>
      </c>
      <c r="D206">
        <v>92.682926829268297</v>
      </c>
      <c r="E206">
        <v>42</v>
      </c>
      <c r="F206">
        <v>40</v>
      </c>
      <c r="G206">
        <v>74</v>
      </c>
      <c r="H206">
        <v>76</v>
      </c>
      <c r="I206">
        <v>122</v>
      </c>
      <c r="J206">
        <v>122</v>
      </c>
      <c r="K206">
        <v>34.42622950819672</v>
      </c>
      <c r="L206">
        <v>32.786885245901637</v>
      </c>
      <c r="M206">
        <v>0.44649999999998835</v>
      </c>
      <c r="N206">
        <v>0.44025000000001152</v>
      </c>
      <c r="O206">
        <f>_xlfn.XLOOKUP(S206, AnglePowerMatching!$H:$H, AnglePowerMatching!$C:$C, "NaN")</f>
        <v>26</v>
      </c>
      <c r="P206">
        <f>_xlfn.XLOOKUP(S206, AnglePowerMatching!$H:$H, AnglePowerMatching!$D:$D, "NaN")</f>
        <v>5</v>
      </c>
      <c r="Q206" t="b">
        <f t="shared" si="7"/>
        <v>1</v>
      </c>
      <c r="R206">
        <f>VALUE(_xlfn.TEXTBEFORE(A206, {"L","R"}, , , , A206))</f>
        <v>950</v>
      </c>
      <c r="S206" t="str">
        <f t="shared" si="6"/>
        <v>95020250910</v>
      </c>
    </row>
    <row r="207" spans="1:19" x14ac:dyDescent="0.3">
      <c r="A207" t="s">
        <v>31</v>
      </c>
      <c r="B207" t="s">
        <v>130</v>
      </c>
      <c r="C207">
        <v>93.150684931506845</v>
      </c>
      <c r="D207">
        <v>88.732394366197184</v>
      </c>
      <c r="E207">
        <v>47</v>
      </c>
      <c r="F207">
        <v>49</v>
      </c>
      <c r="G207">
        <v>68</v>
      </c>
      <c r="H207">
        <v>63</v>
      </c>
      <c r="I207">
        <v>120</v>
      </c>
      <c r="J207">
        <v>120</v>
      </c>
      <c r="K207">
        <v>39.166666666666664</v>
      </c>
      <c r="L207">
        <v>40.833333333333336</v>
      </c>
      <c r="M207">
        <v>0.51986764705881083</v>
      </c>
      <c r="N207">
        <v>0.51471428571428202</v>
      </c>
      <c r="O207">
        <f>_xlfn.XLOOKUP(S207, AnglePowerMatching!$H:$H, AnglePowerMatching!$C:$C, "NaN")</f>
        <v>26</v>
      </c>
      <c r="P207">
        <f>_xlfn.XLOOKUP(S207, AnglePowerMatching!$H:$H, AnglePowerMatching!$D:$D, "NaN")</f>
        <v>10</v>
      </c>
      <c r="Q207" t="b">
        <f t="shared" si="7"/>
        <v>1</v>
      </c>
      <c r="R207">
        <f>VALUE(_xlfn.TEXTBEFORE(A207, {"L","R"}, , , , A207))</f>
        <v>950</v>
      </c>
      <c r="S207" t="str">
        <f t="shared" si="6"/>
        <v>95020250911</v>
      </c>
    </row>
    <row r="208" spans="1:19" x14ac:dyDescent="0.3">
      <c r="A208" t="s">
        <v>39</v>
      </c>
      <c r="B208" t="s">
        <v>61</v>
      </c>
      <c r="C208">
        <v>57.142857142857139</v>
      </c>
      <c r="D208">
        <v>63.865546218487388</v>
      </c>
      <c r="E208">
        <v>1</v>
      </c>
      <c r="F208">
        <v>1</v>
      </c>
      <c r="G208">
        <v>68</v>
      </c>
      <c r="H208">
        <v>76</v>
      </c>
      <c r="I208">
        <v>120</v>
      </c>
      <c r="J208">
        <v>120</v>
      </c>
      <c r="K208">
        <v>0.83333333333333337</v>
      </c>
      <c r="L208">
        <v>0.83333333333333337</v>
      </c>
      <c r="M208">
        <v>0.28710294117646323</v>
      </c>
      <c r="N208">
        <v>0.32257894736842063</v>
      </c>
      <c r="O208">
        <f>_xlfn.XLOOKUP(S208, AnglePowerMatching!$H:$H, AnglePowerMatching!$C:$C, "NaN")</f>
        <v>66</v>
      </c>
      <c r="P208">
        <f>_xlfn.XLOOKUP(S208, AnglePowerMatching!$H:$H, AnglePowerMatching!$D:$D, "NaN")</f>
        <v>3</v>
      </c>
      <c r="Q208" t="b">
        <f t="shared" si="7"/>
        <v>1</v>
      </c>
      <c r="R208">
        <f>VALUE(_xlfn.TEXTBEFORE(A208, {"L","R"}, , , , A208))</f>
        <v>994</v>
      </c>
      <c r="S208" t="str">
        <f t="shared" si="6"/>
        <v>99420251016</v>
      </c>
    </row>
    <row r="209" spans="1:19" x14ac:dyDescent="0.3">
      <c r="A209" t="s">
        <v>39</v>
      </c>
      <c r="B209" t="s">
        <v>63</v>
      </c>
      <c r="C209">
        <v>74.285714285714292</v>
      </c>
      <c r="D209">
        <v>77.981651376146786</v>
      </c>
      <c r="E209">
        <v>15</v>
      </c>
      <c r="F209">
        <v>11</v>
      </c>
      <c r="G209">
        <v>78</v>
      </c>
      <c r="H209">
        <v>85</v>
      </c>
      <c r="I209">
        <v>120</v>
      </c>
      <c r="J209">
        <v>120</v>
      </c>
      <c r="K209">
        <v>12.5</v>
      </c>
      <c r="L209">
        <v>9.1666666666666661</v>
      </c>
      <c r="M209">
        <v>0.62887179487178457</v>
      </c>
      <c r="N209">
        <v>0.59248235294119223</v>
      </c>
      <c r="O209">
        <f>_xlfn.XLOOKUP(S209, AnglePowerMatching!$H:$H, AnglePowerMatching!$C:$C, "NaN")</f>
        <v>66</v>
      </c>
      <c r="P209">
        <f>_xlfn.XLOOKUP(S209, AnglePowerMatching!$H:$H, AnglePowerMatching!$D:$D, "NaN")</f>
        <v>5</v>
      </c>
      <c r="Q209" t="b">
        <f t="shared" si="7"/>
        <v>1</v>
      </c>
      <c r="R209">
        <f>VALUE(_xlfn.TEXTBEFORE(A209, {"L","R"}, , , , A209))</f>
        <v>994</v>
      </c>
      <c r="S209" t="str">
        <f t="shared" si="6"/>
        <v>99420251018</v>
      </c>
    </row>
    <row r="210" spans="1:19" x14ac:dyDescent="0.3">
      <c r="A210" t="s">
        <v>39</v>
      </c>
      <c r="B210" t="s">
        <v>131</v>
      </c>
      <c r="C210">
        <v>69.911504424778755</v>
      </c>
      <c r="D210">
        <v>63.559322033898304</v>
      </c>
      <c r="E210">
        <v>13</v>
      </c>
      <c r="F210">
        <v>8</v>
      </c>
      <c r="G210">
        <v>79</v>
      </c>
      <c r="H210">
        <v>75</v>
      </c>
      <c r="I210">
        <v>126</v>
      </c>
      <c r="J210">
        <v>126</v>
      </c>
      <c r="K210">
        <v>10.317460317460316</v>
      </c>
      <c r="L210">
        <v>6.3492063492063489</v>
      </c>
      <c r="M210">
        <v>0.38740506329114538</v>
      </c>
      <c r="N210">
        <v>0.36110666666667335</v>
      </c>
      <c r="O210">
        <f>_xlfn.XLOOKUP(S210, AnglePowerMatching!$H:$H, AnglePowerMatching!$C:$C, "NaN")</f>
        <v>66</v>
      </c>
      <c r="P210">
        <f>_xlfn.XLOOKUP(S210, AnglePowerMatching!$H:$H, AnglePowerMatching!$D:$D, "NaN")</f>
        <v>10</v>
      </c>
      <c r="Q210" t="b">
        <f t="shared" si="7"/>
        <v>1</v>
      </c>
      <c r="R210">
        <f>VALUE(_xlfn.TEXTBEFORE(A210, {"L","R"}, , , , A210))</f>
        <v>994</v>
      </c>
      <c r="S210" t="str">
        <f t="shared" si="6"/>
        <v>99420251019</v>
      </c>
    </row>
    <row r="211" spans="1:19" x14ac:dyDescent="0.3">
      <c r="A211" t="s">
        <v>39</v>
      </c>
      <c r="B211" t="s">
        <v>64</v>
      </c>
      <c r="C211">
        <v>64.705882352941174</v>
      </c>
      <c r="D211">
        <v>57.499999999999993</v>
      </c>
      <c r="E211">
        <v>1</v>
      </c>
      <c r="F211">
        <v>0</v>
      </c>
      <c r="G211">
        <v>77</v>
      </c>
      <c r="H211">
        <v>69</v>
      </c>
      <c r="I211">
        <v>120</v>
      </c>
      <c r="J211">
        <v>120</v>
      </c>
      <c r="K211">
        <v>0.83333333333333337</v>
      </c>
      <c r="L211">
        <v>0</v>
      </c>
      <c r="M211">
        <v>0.24832467532468375</v>
      </c>
      <c r="N211">
        <v>0.24298550724637241</v>
      </c>
      <c r="O211">
        <f>_xlfn.XLOOKUP(S211, AnglePowerMatching!$H:$H, AnglePowerMatching!$C:$C, "NaN")</f>
        <v>90</v>
      </c>
      <c r="P211">
        <f>_xlfn.XLOOKUP(S211, AnglePowerMatching!$H:$H, AnglePowerMatching!$D:$D, "NaN")</f>
        <v>3</v>
      </c>
      <c r="Q211" t="b">
        <f t="shared" si="7"/>
        <v>1</v>
      </c>
      <c r="R211">
        <f>VALUE(_xlfn.TEXTBEFORE(A211, {"L","R"}, , , , A211))</f>
        <v>994</v>
      </c>
      <c r="S211" t="str">
        <f t="shared" si="6"/>
        <v>99420251025</v>
      </c>
    </row>
    <row r="212" spans="1:19" x14ac:dyDescent="0.3">
      <c r="A212" t="s">
        <v>39</v>
      </c>
      <c r="B212" t="s">
        <v>65</v>
      </c>
      <c r="C212">
        <v>80.508474576271183</v>
      </c>
      <c r="D212">
        <v>68.965517241379317</v>
      </c>
      <c r="E212">
        <v>2</v>
      </c>
      <c r="F212">
        <v>4</v>
      </c>
      <c r="G212">
        <v>95</v>
      </c>
      <c r="H212">
        <v>80</v>
      </c>
      <c r="I212">
        <v>120</v>
      </c>
      <c r="J212">
        <v>120</v>
      </c>
      <c r="K212">
        <v>1.6666666666666667</v>
      </c>
      <c r="L212">
        <v>3.3333333333333335</v>
      </c>
      <c r="M212">
        <v>0.65284210526315167</v>
      </c>
      <c r="N212">
        <v>0.59332499999999166</v>
      </c>
      <c r="O212">
        <f>_xlfn.XLOOKUP(S212, AnglePowerMatching!$H:$H, AnglePowerMatching!$C:$C, "NaN")</f>
        <v>90</v>
      </c>
      <c r="P212">
        <f>_xlfn.XLOOKUP(S212, AnglePowerMatching!$H:$H, AnglePowerMatching!$D:$D, "NaN")</f>
        <v>5</v>
      </c>
      <c r="Q212" t="b">
        <f t="shared" si="7"/>
        <v>1</v>
      </c>
      <c r="R212">
        <f>VALUE(_xlfn.TEXTBEFORE(A212, {"L","R"}, , , , A212))</f>
        <v>994</v>
      </c>
      <c r="S212" t="str">
        <f t="shared" si="6"/>
        <v>99420251026</v>
      </c>
    </row>
    <row r="213" spans="1:19" x14ac:dyDescent="0.3">
      <c r="A213" t="s">
        <v>39</v>
      </c>
      <c r="B213" t="s">
        <v>66</v>
      </c>
      <c r="C213">
        <v>70.370370370370367</v>
      </c>
      <c r="D213">
        <v>75.862068965517238</v>
      </c>
      <c r="E213">
        <v>93</v>
      </c>
      <c r="F213">
        <v>91</v>
      </c>
      <c r="G213">
        <v>19</v>
      </c>
      <c r="H213">
        <v>22</v>
      </c>
      <c r="I213">
        <v>120</v>
      </c>
      <c r="J213">
        <v>120</v>
      </c>
      <c r="K213">
        <v>77.5</v>
      </c>
      <c r="L213">
        <v>75.833333333333329</v>
      </c>
      <c r="M213">
        <v>1.3003157894736881</v>
      </c>
      <c r="N213">
        <v>0.98690909090907619</v>
      </c>
      <c r="O213">
        <f>_xlfn.XLOOKUP(S213, AnglePowerMatching!$H:$H, AnglePowerMatching!$C:$C, "NaN")</f>
        <v>90</v>
      </c>
      <c r="P213">
        <f>_xlfn.XLOOKUP(S213, AnglePowerMatching!$H:$H, AnglePowerMatching!$D:$D, "NaN")</f>
        <v>10</v>
      </c>
      <c r="Q213" t="b">
        <f t="shared" si="7"/>
        <v>1</v>
      </c>
      <c r="R213">
        <f>VALUE(_xlfn.TEXTBEFORE(A213, {"L","R"}, , , , A213))</f>
        <v>994</v>
      </c>
      <c r="S213" t="str">
        <f t="shared" si="6"/>
        <v>99420251027</v>
      </c>
    </row>
    <row r="214" spans="1:19" x14ac:dyDescent="0.3">
      <c r="A214" t="s">
        <v>39</v>
      </c>
      <c r="B214" t="s">
        <v>81</v>
      </c>
      <c r="D214">
        <v>100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0</v>
      </c>
      <c r="N214">
        <v>0.33600000000000002</v>
      </c>
      <c r="O214">
        <f>_xlfn.XLOOKUP(S214, AnglePowerMatching!$H:$H, AnglePowerMatching!$C:$C, "NaN")</f>
        <v>35</v>
      </c>
      <c r="P214">
        <f>_xlfn.XLOOKUP(S214, AnglePowerMatching!$H:$H, AnglePowerMatching!$D:$D, "NaN")</f>
        <v>3</v>
      </c>
      <c r="Q214" t="b">
        <f t="shared" si="7"/>
        <v>0</v>
      </c>
      <c r="R214">
        <f>VALUE(_xlfn.TEXTBEFORE(A214, {"L","R"}, , , , A214))</f>
        <v>994</v>
      </c>
      <c r="S214" t="str">
        <f t="shared" si="6"/>
        <v>99420251101</v>
      </c>
    </row>
    <row r="215" spans="1:19" x14ac:dyDescent="0.3">
      <c r="A215" t="s">
        <v>39</v>
      </c>
      <c r="B215" t="s">
        <v>81</v>
      </c>
      <c r="C215">
        <v>69.387755102040813</v>
      </c>
      <c r="D215">
        <v>78.571428571428569</v>
      </c>
      <c r="E215">
        <v>22</v>
      </c>
      <c r="F215">
        <v>22</v>
      </c>
      <c r="G215">
        <v>68</v>
      </c>
      <c r="H215">
        <v>77</v>
      </c>
      <c r="I215">
        <v>120</v>
      </c>
      <c r="J215">
        <v>120</v>
      </c>
      <c r="K215">
        <v>18.333333333333332</v>
      </c>
      <c r="L215">
        <v>18.333333333333332</v>
      </c>
      <c r="M215">
        <v>0.60675000000000545</v>
      </c>
      <c r="N215">
        <v>0.45418181818181663</v>
      </c>
      <c r="O215">
        <f>_xlfn.XLOOKUP(S215, AnglePowerMatching!$H:$H, AnglePowerMatching!$C:$C, "NaN")</f>
        <v>35</v>
      </c>
      <c r="P215">
        <f>_xlfn.XLOOKUP(S215, AnglePowerMatching!$H:$H, AnglePowerMatching!$D:$D, "NaN")</f>
        <v>3</v>
      </c>
      <c r="Q215" t="b">
        <f t="shared" si="7"/>
        <v>1</v>
      </c>
      <c r="R215">
        <f>VALUE(_xlfn.TEXTBEFORE(A215, {"L","R"}, , , , A215))</f>
        <v>994</v>
      </c>
      <c r="S215" t="str">
        <f t="shared" si="6"/>
        <v>99420251101</v>
      </c>
    </row>
    <row r="216" spans="1:19" x14ac:dyDescent="0.3">
      <c r="A216" t="s">
        <v>39</v>
      </c>
      <c r="B216" t="s">
        <v>68</v>
      </c>
      <c r="C216">
        <v>79.710144927536234</v>
      </c>
      <c r="D216">
        <v>75.342465753424662</v>
      </c>
      <c r="E216">
        <v>51</v>
      </c>
      <c r="F216">
        <v>47</v>
      </c>
      <c r="G216">
        <v>55</v>
      </c>
      <c r="H216">
        <v>55</v>
      </c>
      <c r="I216">
        <v>120</v>
      </c>
      <c r="J216">
        <v>120</v>
      </c>
      <c r="K216">
        <v>42.5</v>
      </c>
      <c r="L216">
        <v>39.166666666666664</v>
      </c>
      <c r="M216">
        <v>1.0394909090909026</v>
      </c>
      <c r="N216">
        <v>1.0396727272727397</v>
      </c>
      <c r="O216">
        <f>_xlfn.XLOOKUP(S216, AnglePowerMatching!$H:$H, AnglePowerMatching!$C:$C, "NaN")</f>
        <v>35</v>
      </c>
      <c r="P216">
        <f>_xlfn.XLOOKUP(S216, AnglePowerMatching!$H:$H, AnglePowerMatching!$D:$D, "NaN")</f>
        <v>5</v>
      </c>
      <c r="Q216" t="b">
        <f t="shared" si="7"/>
        <v>1</v>
      </c>
      <c r="R216">
        <f>VALUE(_xlfn.TEXTBEFORE(A216, {"L","R"}, , , , A216))</f>
        <v>994</v>
      </c>
      <c r="S216" t="str">
        <f t="shared" si="6"/>
        <v>99420251103</v>
      </c>
    </row>
    <row r="217" spans="1:19" x14ac:dyDescent="0.3">
      <c r="A217" t="s">
        <v>39</v>
      </c>
      <c r="B217" t="s">
        <v>68</v>
      </c>
      <c r="C217">
        <v>88.983050847457619</v>
      </c>
      <c r="D217">
        <v>89.075630252100851</v>
      </c>
      <c r="E217">
        <v>2</v>
      </c>
      <c r="F217">
        <v>1</v>
      </c>
      <c r="G217">
        <v>105</v>
      </c>
      <c r="H217">
        <v>106</v>
      </c>
      <c r="I217">
        <v>120</v>
      </c>
      <c r="J217">
        <v>120</v>
      </c>
      <c r="K217">
        <v>1.6666666666666667</v>
      </c>
      <c r="L217">
        <v>0.83333333333333337</v>
      </c>
      <c r="M217">
        <v>0.42023809523808342</v>
      </c>
      <c r="N217">
        <v>0.42601886792453164</v>
      </c>
      <c r="O217">
        <f>_xlfn.XLOOKUP(S217, AnglePowerMatching!$H:$H, AnglePowerMatching!$C:$C, "NaN")</f>
        <v>35</v>
      </c>
      <c r="P217">
        <f>_xlfn.XLOOKUP(S217, AnglePowerMatching!$H:$H, AnglePowerMatching!$D:$D, "NaN")</f>
        <v>5</v>
      </c>
      <c r="Q217" t="b">
        <f t="shared" si="7"/>
        <v>1</v>
      </c>
      <c r="R217">
        <f>VALUE(_xlfn.TEXTBEFORE(A217, {"L","R"}, , , , A217))</f>
        <v>994</v>
      </c>
      <c r="S217" t="str">
        <f t="shared" si="6"/>
        <v>99420251103</v>
      </c>
    </row>
    <row r="218" spans="1:19" x14ac:dyDescent="0.3">
      <c r="A218" t="s">
        <v>39</v>
      </c>
      <c r="B218" t="s">
        <v>143</v>
      </c>
      <c r="C218">
        <v>75</v>
      </c>
      <c r="D218">
        <v>75.675675675675677</v>
      </c>
      <c r="E218">
        <v>20</v>
      </c>
      <c r="F218">
        <v>9</v>
      </c>
      <c r="G218">
        <v>75</v>
      </c>
      <c r="H218">
        <v>84</v>
      </c>
      <c r="I218">
        <v>120</v>
      </c>
      <c r="J218">
        <v>120</v>
      </c>
      <c r="K218">
        <v>16.666666666666664</v>
      </c>
      <c r="L218">
        <v>7.5</v>
      </c>
      <c r="M218">
        <v>0.81501333333333736</v>
      </c>
      <c r="N218">
        <v>0.67048809523809627</v>
      </c>
      <c r="O218">
        <f>_xlfn.XLOOKUP(S218, AnglePowerMatching!$H:$H, AnglePowerMatching!$C:$C, "NaN")</f>
        <v>16</v>
      </c>
      <c r="P218">
        <f>_xlfn.XLOOKUP(S218, AnglePowerMatching!$H:$H, AnglePowerMatching!$D:$D, "NaN")</f>
        <v>3</v>
      </c>
      <c r="Q218" t="b">
        <f t="shared" si="7"/>
        <v>1</v>
      </c>
      <c r="R218">
        <f>VALUE(_xlfn.TEXTBEFORE(A218, {"L","R"}, , , , A218))</f>
        <v>994</v>
      </c>
      <c r="S218" t="str">
        <f t="shared" si="6"/>
        <v>99420251119</v>
      </c>
    </row>
    <row r="219" spans="1:19" x14ac:dyDescent="0.3">
      <c r="A219" t="s">
        <v>39</v>
      </c>
      <c r="B219" t="s">
        <v>152</v>
      </c>
      <c r="C219">
        <v>63.963963963963963</v>
      </c>
      <c r="D219">
        <v>65.346534653465355</v>
      </c>
      <c r="E219">
        <v>9</v>
      </c>
      <c r="F219">
        <v>19</v>
      </c>
      <c r="G219">
        <v>71</v>
      </c>
      <c r="H219">
        <v>66</v>
      </c>
      <c r="I219">
        <v>120</v>
      </c>
      <c r="J219">
        <v>120</v>
      </c>
      <c r="K219">
        <v>7.5</v>
      </c>
      <c r="L219">
        <v>15.833333333333332</v>
      </c>
      <c r="M219">
        <v>0.59278873239436913</v>
      </c>
      <c r="N219">
        <v>0.55643939393941522</v>
      </c>
      <c r="O219">
        <f>_xlfn.XLOOKUP(S219, AnglePowerMatching!$H:$H, AnglePowerMatching!$C:$C, "NaN")</f>
        <v>16</v>
      </c>
      <c r="P219">
        <f>_xlfn.XLOOKUP(S219, AnglePowerMatching!$H:$H, AnglePowerMatching!$D:$D, "NaN")</f>
        <v>5</v>
      </c>
      <c r="Q219" t="b">
        <f t="shared" si="7"/>
        <v>1</v>
      </c>
      <c r="R219">
        <f>VALUE(_xlfn.TEXTBEFORE(A219, {"L","R"}, , , , A219))</f>
        <v>994</v>
      </c>
      <c r="S219" t="str">
        <f t="shared" si="6"/>
        <v>99420251120</v>
      </c>
    </row>
    <row r="220" spans="1:19" x14ac:dyDescent="0.3">
      <c r="A220" t="s">
        <v>39</v>
      </c>
      <c r="B220" t="s">
        <v>121</v>
      </c>
      <c r="C220">
        <v>63.636363636363633</v>
      </c>
      <c r="D220">
        <v>67.415730337078656</v>
      </c>
      <c r="E220">
        <v>32</v>
      </c>
      <c r="F220">
        <v>31</v>
      </c>
      <c r="G220">
        <v>56</v>
      </c>
      <c r="H220">
        <v>60</v>
      </c>
      <c r="I220">
        <v>120</v>
      </c>
      <c r="J220">
        <v>120</v>
      </c>
      <c r="K220">
        <v>26.666666666666668</v>
      </c>
      <c r="L220">
        <v>25.833333333333336</v>
      </c>
      <c r="M220">
        <v>0.61192857142857948</v>
      </c>
      <c r="N220">
        <v>0.54565000000002106</v>
      </c>
      <c r="O220">
        <f>_xlfn.XLOOKUP(S220, AnglePowerMatching!$H:$H, AnglePowerMatching!$C:$C, "NaN")</f>
        <v>16</v>
      </c>
      <c r="P220">
        <f>_xlfn.XLOOKUP(S220, AnglePowerMatching!$H:$H, AnglePowerMatching!$D:$D, "NaN")</f>
        <v>5</v>
      </c>
      <c r="Q220" t="b">
        <f t="shared" si="7"/>
        <v>1</v>
      </c>
      <c r="R220">
        <f>VALUE(_xlfn.TEXTBEFORE(A220, {"L","R"}, , , , A220))</f>
        <v>994</v>
      </c>
      <c r="S220" t="str">
        <f t="shared" si="6"/>
        <v>99420251121</v>
      </c>
    </row>
    <row r="221" spans="1:19" x14ac:dyDescent="0.3">
      <c r="A221" t="s">
        <v>39</v>
      </c>
      <c r="B221" t="s">
        <v>40</v>
      </c>
      <c r="C221">
        <v>61.666666666666671</v>
      </c>
      <c r="D221">
        <v>55.833333333333336</v>
      </c>
      <c r="E221">
        <v>0</v>
      </c>
      <c r="F221">
        <v>0</v>
      </c>
      <c r="G221">
        <v>74</v>
      </c>
      <c r="H221">
        <v>67</v>
      </c>
      <c r="I221">
        <v>120</v>
      </c>
      <c r="J221">
        <v>120</v>
      </c>
      <c r="K221">
        <v>0</v>
      </c>
      <c r="L221">
        <v>0</v>
      </c>
      <c r="M221">
        <v>0.28529729729729014</v>
      </c>
      <c r="N221">
        <v>0.286164179104478</v>
      </c>
      <c r="O221">
        <f>_xlfn.XLOOKUP(S221, AnglePowerMatching!$H:$H, AnglePowerMatching!$C:$C, "NaN")</f>
        <v>16</v>
      </c>
      <c r="P221">
        <f>_xlfn.XLOOKUP(S221, AnglePowerMatching!$H:$H, AnglePowerMatching!$D:$D, "NaN")</f>
        <v>3</v>
      </c>
      <c r="Q221" t="b">
        <f t="shared" si="7"/>
        <v>1</v>
      </c>
      <c r="R221">
        <f>VALUE(_xlfn.TEXTBEFORE(A221, {"L","R"}, , , , A221))</f>
        <v>994</v>
      </c>
      <c r="S221" t="str">
        <f t="shared" si="6"/>
        <v>99420251122</v>
      </c>
    </row>
    <row r="222" spans="1:19" x14ac:dyDescent="0.3">
      <c r="A222" t="s">
        <v>39</v>
      </c>
      <c r="B222" t="s">
        <v>41</v>
      </c>
      <c r="C222">
        <v>60.204081632653065</v>
      </c>
      <c r="D222">
        <v>65.686274509803923</v>
      </c>
      <c r="E222">
        <v>22</v>
      </c>
      <c r="F222">
        <v>18</v>
      </c>
      <c r="G222">
        <v>59</v>
      </c>
      <c r="H222">
        <v>67</v>
      </c>
      <c r="I222">
        <v>120</v>
      </c>
      <c r="J222">
        <v>120</v>
      </c>
      <c r="K222">
        <v>18.333333333333332</v>
      </c>
      <c r="L222">
        <v>15</v>
      </c>
      <c r="M222">
        <v>0.62038983050847252</v>
      </c>
      <c r="N222">
        <v>0.67235820895522258</v>
      </c>
      <c r="O222">
        <f>_xlfn.XLOOKUP(S222, AnglePowerMatching!$H:$H, AnglePowerMatching!$C:$C, "NaN")</f>
        <v>16</v>
      </c>
      <c r="P222">
        <f>_xlfn.XLOOKUP(S222, AnglePowerMatching!$H:$H, AnglePowerMatching!$D:$D, "NaN")</f>
        <v>10</v>
      </c>
      <c r="Q222" t="b">
        <f t="shared" si="7"/>
        <v>1</v>
      </c>
      <c r="R222">
        <f>VALUE(_xlfn.TEXTBEFORE(A222, {"L","R"}, , , , A222))</f>
        <v>994</v>
      </c>
      <c r="S222" t="str">
        <f t="shared" si="6"/>
        <v>99420251123</v>
      </c>
    </row>
    <row r="223" spans="1:19" x14ac:dyDescent="0.3">
      <c r="A223" t="s">
        <v>39</v>
      </c>
      <c r="B223" t="s">
        <v>43</v>
      </c>
      <c r="C223">
        <v>60</v>
      </c>
      <c r="D223">
        <v>68.067226890756302</v>
      </c>
      <c r="E223">
        <v>5</v>
      </c>
      <c r="F223">
        <v>1</v>
      </c>
      <c r="G223">
        <v>69</v>
      </c>
      <c r="H223">
        <v>81</v>
      </c>
      <c r="I223">
        <v>120</v>
      </c>
      <c r="J223">
        <v>120</v>
      </c>
      <c r="K223">
        <v>4.1666666666666661</v>
      </c>
      <c r="L223">
        <v>0.83333333333333337</v>
      </c>
      <c r="M223">
        <v>0.39305797101449774</v>
      </c>
      <c r="N223">
        <v>0.34014814814814476</v>
      </c>
      <c r="O223">
        <f>_xlfn.XLOOKUP(S223, AnglePowerMatching!$H:$H, AnglePowerMatching!$C:$C, "NaN")</f>
        <v>26</v>
      </c>
      <c r="P223">
        <f>_xlfn.XLOOKUP(S223, AnglePowerMatching!$H:$H, AnglePowerMatching!$D:$D, "NaN")</f>
        <v>3</v>
      </c>
      <c r="Q223" t="b">
        <f t="shared" si="7"/>
        <v>1</v>
      </c>
      <c r="R223">
        <f>VALUE(_xlfn.TEXTBEFORE(A223, {"L","R"}, , , , A223))</f>
        <v>994</v>
      </c>
      <c r="S223" t="str">
        <f t="shared" si="6"/>
        <v>99420251212</v>
      </c>
    </row>
    <row r="224" spans="1:19" x14ac:dyDescent="0.3">
      <c r="A224" t="s">
        <v>39</v>
      </c>
      <c r="B224" t="s">
        <v>44</v>
      </c>
      <c r="C224">
        <v>70.967741935483872</v>
      </c>
      <c r="D224">
        <v>62.765957446808507</v>
      </c>
      <c r="E224">
        <v>27</v>
      </c>
      <c r="F224">
        <v>26</v>
      </c>
      <c r="G224">
        <v>66</v>
      </c>
      <c r="H224">
        <v>59</v>
      </c>
      <c r="I224">
        <v>120</v>
      </c>
      <c r="J224">
        <v>120</v>
      </c>
      <c r="K224">
        <v>22.5</v>
      </c>
      <c r="L224">
        <v>21.666666666666668</v>
      </c>
      <c r="M224">
        <v>0.3830909090909152</v>
      </c>
      <c r="N224">
        <v>0.35538983050847911</v>
      </c>
      <c r="O224">
        <f>_xlfn.XLOOKUP(S224, AnglePowerMatching!$H:$H, AnglePowerMatching!$C:$C, "NaN")</f>
        <v>26</v>
      </c>
      <c r="P224">
        <f>_xlfn.XLOOKUP(S224, AnglePowerMatching!$H:$H, AnglePowerMatching!$D:$D, "NaN")</f>
        <v>5</v>
      </c>
      <c r="Q224" t="b">
        <f t="shared" si="7"/>
        <v>1</v>
      </c>
      <c r="R224">
        <f>VALUE(_xlfn.TEXTBEFORE(A224, {"L","R"}, , , , A224))</f>
        <v>994</v>
      </c>
      <c r="S224" t="str">
        <f t="shared" si="6"/>
        <v>99420251213</v>
      </c>
    </row>
    <row r="225" spans="1:19" x14ac:dyDescent="0.3">
      <c r="A225" t="s">
        <v>39</v>
      </c>
      <c r="B225" t="s">
        <v>45</v>
      </c>
      <c r="C225">
        <v>81.512605042016801</v>
      </c>
      <c r="D225">
        <v>89.915966386554629</v>
      </c>
      <c r="E225">
        <v>1</v>
      </c>
      <c r="F225">
        <v>1</v>
      </c>
      <c r="G225">
        <v>97</v>
      </c>
      <c r="H225">
        <v>107</v>
      </c>
      <c r="I225">
        <v>120</v>
      </c>
      <c r="J225">
        <v>120</v>
      </c>
      <c r="K225">
        <v>0.83333333333333337</v>
      </c>
      <c r="L225">
        <v>0.83333333333333337</v>
      </c>
      <c r="M225">
        <v>0.39161855670101564</v>
      </c>
      <c r="N225">
        <v>0.39384112149533512</v>
      </c>
      <c r="O225">
        <f>_xlfn.XLOOKUP(S225, AnglePowerMatching!$H:$H, AnglePowerMatching!$C:$C, "NaN")</f>
        <v>26</v>
      </c>
      <c r="P225">
        <f>_xlfn.XLOOKUP(S225, AnglePowerMatching!$H:$H, AnglePowerMatching!$D:$D, "NaN")</f>
        <v>10</v>
      </c>
      <c r="Q225" t="b">
        <f t="shared" si="7"/>
        <v>1</v>
      </c>
      <c r="R225">
        <f>VALUE(_xlfn.TEXTBEFORE(A225, {"L","R"}, , , , A225))</f>
        <v>994</v>
      </c>
      <c r="S225" t="str">
        <f t="shared" si="6"/>
        <v>99420251215</v>
      </c>
    </row>
    <row r="226" spans="1:19" x14ac:dyDescent="0.3">
      <c r="A226" t="s">
        <v>39</v>
      </c>
      <c r="B226" t="s">
        <v>46</v>
      </c>
      <c r="C226">
        <v>78.095238095238102</v>
      </c>
      <c r="D226">
        <v>87.735849056603783</v>
      </c>
      <c r="E226">
        <v>15</v>
      </c>
      <c r="F226">
        <v>14</v>
      </c>
      <c r="G226">
        <v>82</v>
      </c>
      <c r="H226">
        <v>93</v>
      </c>
      <c r="I226">
        <v>120</v>
      </c>
      <c r="J226">
        <v>120</v>
      </c>
      <c r="K226">
        <v>12.5</v>
      </c>
      <c r="L226">
        <v>11.666666666666666</v>
      </c>
      <c r="M226">
        <v>0.94957317073170255</v>
      </c>
      <c r="N226">
        <v>0.95915053763440883</v>
      </c>
      <c r="O226">
        <f>_xlfn.XLOOKUP(S226, AnglePowerMatching!$H:$H, AnglePowerMatching!$C:$C, "NaN")</f>
        <v>26</v>
      </c>
      <c r="P226">
        <f>_xlfn.XLOOKUP(S226, AnglePowerMatching!$H:$H, AnglePowerMatching!$D:$D, "NaN")</f>
        <v>5</v>
      </c>
      <c r="Q226" t="b">
        <f t="shared" si="7"/>
        <v>1</v>
      </c>
      <c r="R226">
        <f>VALUE(_xlfn.TEXTBEFORE(A226, {"L","R"}, , , , A226))</f>
        <v>994</v>
      </c>
      <c r="S226" t="str">
        <f t="shared" si="6"/>
        <v>99420251216</v>
      </c>
    </row>
    <row r="227" spans="1:19" x14ac:dyDescent="0.3">
      <c r="A227" t="s">
        <v>39</v>
      </c>
      <c r="B227" t="s">
        <v>48</v>
      </c>
      <c r="C227">
        <v>74.380165289256198</v>
      </c>
      <c r="D227">
        <v>71.900826446281002</v>
      </c>
      <c r="E227">
        <v>0</v>
      </c>
      <c r="F227">
        <v>0</v>
      </c>
      <c r="G227">
        <v>90</v>
      </c>
      <c r="H227">
        <v>87</v>
      </c>
      <c r="I227">
        <v>121</v>
      </c>
      <c r="J227">
        <v>121</v>
      </c>
      <c r="K227">
        <v>0</v>
      </c>
      <c r="L227">
        <v>0</v>
      </c>
      <c r="M227">
        <v>0.27885555555556824</v>
      </c>
      <c r="N227">
        <v>0.27140229885057116</v>
      </c>
      <c r="O227">
        <f>_xlfn.XLOOKUP(S227, AnglePowerMatching!$H:$H, AnglePowerMatching!$C:$C, "NaN")</f>
        <v>90</v>
      </c>
      <c r="P227">
        <f>_xlfn.XLOOKUP(S227, AnglePowerMatching!$H:$H, AnglePowerMatching!$D:$D, "NaN")</f>
        <v>10</v>
      </c>
      <c r="Q227" t="b">
        <f t="shared" si="7"/>
        <v>1</v>
      </c>
      <c r="R227">
        <f>VALUE(_xlfn.TEXTBEFORE(A227, {"L","R"}, , , , A227))</f>
        <v>994</v>
      </c>
      <c r="S227" t="str">
        <f t="shared" si="6"/>
        <v>99420251218</v>
      </c>
    </row>
    <row r="228" spans="1:19" x14ac:dyDescent="0.3">
      <c r="A228" t="s">
        <v>39</v>
      </c>
      <c r="B228" t="s">
        <v>49</v>
      </c>
      <c r="C228">
        <v>72.5</v>
      </c>
      <c r="D228">
        <v>68.333333333333329</v>
      </c>
      <c r="E228">
        <v>0</v>
      </c>
      <c r="F228">
        <v>0</v>
      </c>
      <c r="G228">
        <v>87</v>
      </c>
      <c r="H228">
        <v>82</v>
      </c>
      <c r="I228">
        <v>120</v>
      </c>
      <c r="J228">
        <v>120</v>
      </c>
      <c r="K228">
        <v>0</v>
      </c>
      <c r="L228">
        <v>0</v>
      </c>
      <c r="M228">
        <v>0.36049425287356301</v>
      </c>
      <c r="N228">
        <v>0.3518414634146349</v>
      </c>
      <c r="O228">
        <f>_xlfn.XLOOKUP(S228, AnglePowerMatching!$H:$H, AnglePowerMatching!$C:$C, "NaN")</f>
        <v>90</v>
      </c>
      <c r="P228">
        <f>_xlfn.XLOOKUP(S228, AnglePowerMatching!$H:$H, AnglePowerMatching!$D:$D, "NaN")</f>
        <v>5</v>
      </c>
      <c r="Q228" t="b">
        <f t="shared" si="7"/>
        <v>1</v>
      </c>
      <c r="R228">
        <f>VALUE(_xlfn.TEXTBEFORE(A228, {"L","R"}, , , , A228))</f>
        <v>994</v>
      </c>
      <c r="S228" t="str">
        <f t="shared" si="6"/>
        <v>99420251230</v>
      </c>
    </row>
    <row r="229" spans="1:19" x14ac:dyDescent="0.3">
      <c r="A229" t="s">
        <v>39</v>
      </c>
      <c r="B229" t="s">
        <v>132</v>
      </c>
      <c r="C229">
        <v>56.896551724137936</v>
      </c>
      <c r="D229">
        <v>53.333333333333336</v>
      </c>
      <c r="E229">
        <v>4</v>
      </c>
      <c r="F229">
        <v>0</v>
      </c>
      <c r="G229">
        <v>66</v>
      </c>
      <c r="H229">
        <v>64</v>
      </c>
      <c r="I229">
        <v>120</v>
      </c>
      <c r="J229">
        <v>120</v>
      </c>
      <c r="K229">
        <v>3.3333333333333335</v>
      </c>
      <c r="L229">
        <v>0</v>
      </c>
      <c r="M229">
        <v>0.26430303030302776</v>
      </c>
      <c r="N229">
        <v>0.24053124999999453</v>
      </c>
      <c r="O229">
        <f>_xlfn.XLOOKUP(S229, AnglePowerMatching!$H:$H, AnglePowerMatching!$C:$C, "NaN")</f>
        <v>66</v>
      </c>
      <c r="P229">
        <f>_xlfn.XLOOKUP(S229, AnglePowerMatching!$H:$H, AnglePowerMatching!$D:$D, "NaN")</f>
        <v>3</v>
      </c>
      <c r="Q229" t="b">
        <f t="shared" si="7"/>
        <v>1</v>
      </c>
      <c r="R229">
        <f>VALUE(_xlfn.TEXTBEFORE(A229, {"L","R"}, , , , A229))</f>
        <v>994</v>
      </c>
      <c r="S229" t="str">
        <f t="shared" si="6"/>
        <v>99420260102</v>
      </c>
    </row>
    <row r="230" spans="1:19" x14ac:dyDescent="0.3">
      <c r="A230" t="s">
        <v>3</v>
      </c>
      <c r="B230" t="s">
        <v>143</v>
      </c>
      <c r="C230">
        <v>59.482758620689658</v>
      </c>
      <c r="D230">
        <v>60.176991150442483</v>
      </c>
      <c r="E230">
        <v>4</v>
      </c>
      <c r="F230">
        <v>7</v>
      </c>
      <c r="G230">
        <v>69</v>
      </c>
      <c r="H230">
        <v>68</v>
      </c>
      <c r="I230">
        <v>120</v>
      </c>
      <c r="J230">
        <v>120</v>
      </c>
      <c r="K230">
        <v>3.3333333333333335</v>
      </c>
      <c r="L230">
        <v>5.833333333333333</v>
      </c>
      <c r="M230">
        <v>0.31857971014492159</v>
      </c>
      <c r="N230">
        <v>0.32642647058824137</v>
      </c>
      <c r="O230">
        <f>_xlfn.XLOOKUP(S230, AnglePowerMatching!$H:$H, AnglePowerMatching!$C:$C, "NaN")</f>
        <v>66</v>
      </c>
      <c r="P230">
        <f>_xlfn.XLOOKUP(S230, AnglePowerMatching!$H:$H, AnglePowerMatching!$D:$D, "NaN")</f>
        <v>3</v>
      </c>
      <c r="Q230" t="b">
        <f t="shared" si="7"/>
        <v>1</v>
      </c>
      <c r="R230">
        <f>VALUE(_xlfn.TEXTBEFORE(A230, {"L","R"}, , , , A230))</f>
        <v>995</v>
      </c>
      <c r="S230" t="str">
        <f t="shared" si="6"/>
        <v>99520251119</v>
      </c>
    </row>
    <row r="231" spans="1:19" x14ac:dyDescent="0.3">
      <c r="A231" t="s">
        <v>3</v>
      </c>
      <c r="B231" t="s">
        <v>152</v>
      </c>
      <c r="C231">
        <v>70.085470085470078</v>
      </c>
      <c r="D231">
        <v>74.166666666666671</v>
      </c>
      <c r="E231">
        <v>3</v>
      </c>
      <c r="F231">
        <v>0</v>
      </c>
      <c r="G231">
        <v>82</v>
      </c>
      <c r="H231">
        <v>89</v>
      </c>
      <c r="I231">
        <v>120</v>
      </c>
      <c r="J231">
        <v>120</v>
      </c>
      <c r="K231">
        <v>2.5</v>
      </c>
      <c r="L231">
        <v>0</v>
      </c>
      <c r="M231">
        <v>0.33497560975609542</v>
      </c>
      <c r="N231">
        <v>0.35759550561798775</v>
      </c>
      <c r="O231">
        <f>_xlfn.XLOOKUP(S231, AnglePowerMatching!$H:$H, AnglePowerMatching!$C:$C, "NaN")</f>
        <v>66</v>
      </c>
      <c r="P231">
        <f>_xlfn.XLOOKUP(S231, AnglePowerMatching!$H:$H, AnglePowerMatching!$D:$D, "NaN")</f>
        <v>5</v>
      </c>
      <c r="Q231" t="b">
        <f t="shared" si="7"/>
        <v>1</v>
      </c>
      <c r="R231">
        <f>VALUE(_xlfn.TEXTBEFORE(A231, {"L","R"}, , , , A231))</f>
        <v>995</v>
      </c>
      <c r="S231" t="str">
        <f t="shared" si="6"/>
        <v>99520251120</v>
      </c>
    </row>
    <row r="232" spans="1:19" x14ac:dyDescent="0.3">
      <c r="A232" t="s">
        <v>3</v>
      </c>
      <c r="B232" t="s">
        <v>121</v>
      </c>
      <c r="C232">
        <v>77.570093457943926</v>
      </c>
      <c r="D232">
        <v>74.285714285714292</v>
      </c>
      <c r="E232">
        <v>13</v>
      </c>
      <c r="F232">
        <v>15</v>
      </c>
      <c r="G232">
        <v>83</v>
      </c>
      <c r="H232">
        <v>78</v>
      </c>
      <c r="I232">
        <v>120</v>
      </c>
      <c r="J232">
        <v>120</v>
      </c>
      <c r="K232">
        <v>10.833333333333334</v>
      </c>
      <c r="L232">
        <v>12.5</v>
      </c>
      <c r="M232">
        <v>0.30891566265059439</v>
      </c>
      <c r="N232">
        <v>0.29430769230768655</v>
      </c>
      <c r="O232">
        <f>_xlfn.XLOOKUP(S232, AnglePowerMatching!$H:$H, AnglePowerMatching!$C:$C, "NaN")</f>
        <v>66</v>
      </c>
      <c r="P232">
        <f>_xlfn.XLOOKUP(S232, AnglePowerMatching!$H:$H, AnglePowerMatching!$D:$D, "NaN")</f>
        <v>10</v>
      </c>
      <c r="Q232" t="b">
        <f t="shared" si="7"/>
        <v>1</v>
      </c>
      <c r="R232">
        <f>VALUE(_xlfn.TEXTBEFORE(A232, {"L","R"}, , , , A232))</f>
        <v>995</v>
      </c>
      <c r="S232" t="str">
        <f t="shared" si="6"/>
        <v>99520251121</v>
      </c>
    </row>
    <row r="233" spans="1:19" x14ac:dyDescent="0.3">
      <c r="A233" t="s">
        <v>3</v>
      </c>
      <c r="B233" t="s">
        <v>40</v>
      </c>
      <c r="C233">
        <v>91.666666666666657</v>
      </c>
      <c r="D233">
        <v>86.666666666666671</v>
      </c>
      <c r="E233">
        <v>12</v>
      </c>
      <c r="F233">
        <v>15</v>
      </c>
      <c r="G233">
        <v>99</v>
      </c>
      <c r="H233">
        <v>91</v>
      </c>
      <c r="I233">
        <v>120</v>
      </c>
      <c r="J233">
        <v>120</v>
      </c>
      <c r="K233">
        <v>10</v>
      </c>
      <c r="L233">
        <v>12.5</v>
      </c>
      <c r="M233">
        <v>0.55823232323232785</v>
      </c>
      <c r="N233">
        <v>0.51458241758242251</v>
      </c>
      <c r="O233">
        <f>_xlfn.XLOOKUP(S233, AnglePowerMatching!$H:$H, AnglePowerMatching!$C:$C, "NaN")</f>
        <v>66</v>
      </c>
      <c r="P233">
        <f>_xlfn.XLOOKUP(S233, AnglePowerMatching!$H:$H, AnglePowerMatching!$D:$D, "NaN")</f>
        <v>3</v>
      </c>
      <c r="Q233" t="b">
        <f t="shared" si="7"/>
        <v>1</v>
      </c>
      <c r="R233">
        <f>VALUE(_xlfn.TEXTBEFORE(A233, {"L","R"}, , , , A233))</f>
        <v>995</v>
      </c>
      <c r="S233" t="str">
        <f t="shared" si="6"/>
        <v>99520251122</v>
      </c>
    </row>
    <row r="234" spans="1:19" x14ac:dyDescent="0.3">
      <c r="A234" t="s">
        <v>3</v>
      </c>
      <c r="B234" t="s">
        <v>41</v>
      </c>
      <c r="C234">
        <v>80.530973451327441</v>
      </c>
      <c r="D234">
        <v>82.90598290598291</v>
      </c>
      <c r="E234">
        <v>7</v>
      </c>
      <c r="F234">
        <v>3</v>
      </c>
      <c r="G234">
        <v>91</v>
      </c>
      <c r="H234">
        <v>97</v>
      </c>
      <c r="I234">
        <v>120</v>
      </c>
      <c r="J234">
        <v>120</v>
      </c>
      <c r="K234">
        <v>5.833333333333333</v>
      </c>
      <c r="L234">
        <v>2.5</v>
      </c>
      <c r="M234">
        <v>0.3667802197802183</v>
      </c>
      <c r="N234">
        <v>0.32207216494845442</v>
      </c>
      <c r="O234">
        <f>_xlfn.XLOOKUP(S234, AnglePowerMatching!$H:$H, AnglePowerMatching!$C:$C, "NaN")</f>
        <v>66</v>
      </c>
      <c r="P234">
        <f>_xlfn.XLOOKUP(S234, AnglePowerMatching!$H:$H, AnglePowerMatching!$D:$D, "NaN")</f>
        <v>10</v>
      </c>
      <c r="Q234" t="b">
        <f t="shared" si="7"/>
        <v>1</v>
      </c>
      <c r="R234">
        <f>VALUE(_xlfn.TEXTBEFORE(A234, {"L","R"}, , , , A234))</f>
        <v>995</v>
      </c>
      <c r="S234" t="str">
        <f t="shared" si="6"/>
        <v>99520251123</v>
      </c>
    </row>
    <row r="235" spans="1:19" x14ac:dyDescent="0.3">
      <c r="A235" t="s">
        <v>3</v>
      </c>
      <c r="B235" t="s">
        <v>43</v>
      </c>
      <c r="C235">
        <v>76</v>
      </c>
      <c r="D235">
        <v>77.884615384615387</v>
      </c>
      <c r="E235">
        <v>20</v>
      </c>
      <c r="F235">
        <v>16</v>
      </c>
      <c r="G235">
        <v>76</v>
      </c>
      <c r="H235">
        <v>81</v>
      </c>
      <c r="I235">
        <v>120</v>
      </c>
      <c r="J235">
        <v>120</v>
      </c>
      <c r="K235">
        <v>16.666666666666664</v>
      </c>
      <c r="L235">
        <v>13.333333333333334</v>
      </c>
      <c r="M235">
        <v>0.64717105263158314</v>
      </c>
      <c r="N235">
        <v>0.65953086419754281</v>
      </c>
      <c r="O235">
        <f>_xlfn.XLOOKUP(S235, AnglePowerMatching!$H:$H, AnglePowerMatching!$C:$C, "NaN")</f>
        <v>90</v>
      </c>
      <c r="P235">
        <f>_xlfn.XLOOKUP(S235, AnglePowerMatching!$H:$H, AnglePowerMatching!$D:$D, "NaN")</f>
        <v>3</v>
      </c>
      <c r="Q235" t="b">
        <f t="shared" si="7"/>
        <v>1</v>
      </c>
      <c r="R235">
        <f>VALUE(_xlfn.TEXTBEFORE(A235, {"L","R"}, , , , A235))</f>
        <v>995</v>
      </c>
      <c r="S235" t="str">
        <f t="shared" si="6"/>
        <v>99520251212</v>
      </c>
    </row>
    <row r="236" spans="1:19" x14ac:dyDescent="0.3">
      <c r="A236" t="s">
        <v>3</v>
      </c>
      <c r="B236" t="s">
        <v>44</v>
      </c>
      <c r="C236">
        <v>57.777777777777771</v>
      </c>
      <c r="D236">
        <v>56.25</v>
      </c>
      <c r="E236">
        <v>30</v>
      </c>
      <c r="F236">
        <v>24</v>
      </c>
      <c r="G236">
        <v>52</v>
      </c>
      <c r="H236">
        <v>54</v>
      </c>
      <c r="I236">
        <v>120</v>
      </c>
      <c r="J236">
        <v>120</v>
      </c>
      <c r="K236">
        <v>25</v>
      </c>
      <c r="L236">
        <v>20</v>
      </c>
      <c r="M236">
        <v>0.29417307692305505</v>
      </c>
      <c r="N236">
        <v>0.31442592592592933</v>
      </c>
      <c r="O236">
        <f>_xlfn.XLOOKUP(S236, AnglePowerMatching!$H:$H, AnglePowerMatching!$C:$C, "NaN")</f>
        <v>90</v>
      </c>
      <c r="P236">
        <f>_xlfn.XLOOKUP(S236, AnglePowerMatching!$H:$H, AnglePowerMatching!$D:$D, "NaN")</f>
        <v>5</v>
      </c>
      <c r="Q236" t="b">
        <f t="shared" si="7"/>
        <v>1</v>
      </c>
      <c r="R236">
        <f>VALUE(_xlfn.TEXTBEFORE(A236, {"L","R"}, , , , A236))</f>
        <v>995</v>
      </c>
      <c r="S236" t="str">
        <f t="shared" si="6"/>
        <v>99520251213</v>
      </c>
    </row>
    <row r="237" spans="1:19" x14ac:dyDescent="0.3">
      <c r="A237" t="s">
        <v>3</v>
      </c>
      <c r="B237" t="s">
        <v>46</v>
      </c>
      <c r="C237">
        <v>86.666666666666671</v>
      </c>
      <c r="D237">
        <v>84.033613445378151</v>
      </c>
      <c r="E237">
        <v>0</v>
      </c>
      <c r="F237">
        <v>1</v>
      </c>
      <c r="G237">
        <v>104</v>
      </c>
      <c r="H237">
        <v>100</v>
      </c>
      <c r="I237">
        <v>120</v>
      </c>
      <c r="J237">
        <v>120</v>
      </c>
      <c r="K237">
        <v>0</v>
      </c>
      <c r="L237">
        <v>0.83333333333333337</v>
      </c>
      <c r="M237">
        <v>0.39332692307692751</v>
      </c>
      <c r="N237">
        <v>0.39480000000000304</v>
      </c>
      <c r="O237">
        <f>_xlfn.XLOOKUP(S237, AnglePowerMatching!$H:$H, AnglePowerMatching!$C:$C, "NaN")</f>
        <v>90</v>
      </c>
      <c r="P237">
        <f>_xlfn.XLOOKUP(S237, AnglePowerMatching!$H:$H, AnglePowerMatching!$D:$D, "NaN")</f>
        <v>5</v>
      </c>
      <c r="Q237" t="b">
        <f t="shared" si="7"/>
        <v>1</v>
      </c>
      <c r="R237">
        <f>VALUE(_xlfn.TEXTBEFORE(A237, {"L","R"}, , , , A237))</f>
        <v>995</v>
      </c>
      <c r="S237" t="str">
        <f t="shared" si="6"/>
        <v>99520251216</v>
      </c>
    </row>
    <row r="238" spans="1:19" x14ac:dyDescent="0.3">
      <c r="A238" t="s">
        <v>3</v>
      </c>
      <c r="B238" t="s">
        <v>48</v>
      </c>
      <c r="C238">
        <v>56.999999999999993</v>
      </c>
      <c r="D238">
        <v>52.941176470588239</v>
      </c>
      <c r="E238">
        <v>21</v>
      </c>
      <c r="F238">
        <v>19</v>
      </c>
      <c r="G238">
        <v>57</v>
      </c>
      <c r="H238">
        <v>54</v>
      </c>
      <c r="I238">
        <v>121</v>
      </c>
      <c r="J238">
        <v>121</v>
      </c>
      <c r="K238">
        <v>17.355371900826448</v>
      </c>
      <c r="L238">
        <v>15.702479338842975</v>
      </c>
      <c r="M238">
        <v>0.23249122807018233</v>
      </c>
      <c r="N238">
        <v>0.27966666666664958</v>
      </c>
      <c r="O238">
        <f>_xlfn.XLOOKUP(S238, AnglePowerMatching!$H:$H, AnglePowerMatching!$C:$C, "NaN")</f>
        <v>90</v>
      </c>
      <c r="P238">
        <f>_xlfn.XLOOKUP(S238, AnglePowerMatching!$H:$H, AnglePowerMatching!$D:$D, "NaN")</f>
        <v>10</v>
      </c>
      <c r="Q238" t="b">
        <f t="shared" si="7"/>
        <v>1</v>
      </c>
      <c r="R238">
        <f>VALUE(_xlfn.TEXTBEFORE(A238, {"L","R"}, , , , A238))</f>
        <v>995</v>
      </c>
      <c r="S238" t="str">
        <f t="shared" si="6"/>
        <v>99520251218</v>
      </c>
    </row>
    <row r="239" spans="1:19" x14ac:dyDescent="0.3">
      <c r="A239" t="s">
        <v>3</v>
      </c>
      <c r="B239" t="s">
        <v>86</v>
      </c>
      <c r="C239">
        <v>58.928571428571431</v>
      </c>
      <c r="D239">
        <v>61.739130434782609</v>
      </c>
      <c r="E239">
        <v>8</v>
      </c>
      <c r="F239">
        <v>5</v>
      </c>
      <c r="G239">
        <v>66</v>
      </c>
      <c r="H239">
        <v>71</v>
      </c>
      <c r="I239">
        <v>120</v>
      </c>
      <c r="J239">
        <v>120</v>
      </c>
      <c r="K239">
        <v>6.666666666666667</v>
      </c>
      <c r="L239">
        <v>4.1666666666666661</v>
      </c>
      <c r="M239">
        <v>0.30384848484847704</v>
      </c>
      <c r="N239">
        <v>0.33461971830985221</v>
      </c>
      <c r="O239">
        <f>_xlfn.XLOOKUP(S239, AnglePowerMatching!$H:$H, AnglePowerMatching!$C:$C, "NaN")</f>
        <v>35</v>
      </c>
      <c r="P239">
        <f>_xlfn.XLOOKUP(S239, AnglePowerMatching!$H:$H, AnglePowerMatching!$D:$D, "NaN")</f>
        <v>3</v>
      </c>
      <c r="Q239" t="b">
        <f t="shared" si="7"/>
        <v>1</v>
      </c>
      <c r="R239">
        <f>VALUE(_xlfn.TEXTBEFORE(A239, {"L","R"}, , , , A239))</f>
        <v>995</v>
      </c>
      <c r="S239" t="str">
        <f t="shared" si="6"/>
        <v>99520260114</v>
      </c>
    </row>
    <row r="240" spans="1:19" x14ac:dyDescent="0.3">
      <c r="A240" t="s">
        <v>3</v>
      </c>
      <c r="B240" t="s">
        <v>7</v>
      </c>
      <c r="C240">
        <v>54.621848739495796</v>
      </c>
      <c r="D240">
        <v>57.142857142857139</v>
      </c>
      <c r="E240">
        <v>1</v>
      </c>
      <c r="F240">
        <v>1</v>
      </c>
      <c r="G240">
        <v>65</v>
      </c>
      <c r="H240">
        <v>68</v>
      </c>
      <c r="I240">
        <v>120</v>
      </c>
      <c r="J240">
        <v>120</v>
      </c>
      <c r="K240">
        <v>0.83333333333333337</v>
      </c>
      <c r="L240">
        <v>0.83333333333333337</v>
      </c>
      <c r="M240">
        <v>0.22903076923074922</v>
      </c>
      <c r="N240">
        <v>0.24427941176468812</v>
      </c>
      <c r="O240">
        <f>_xlfn.XLOOKUP(S240, AnglePowerMatching!$H:$H, AnglePowerMatching!$C:$C, "NaN")</f>
        <v>35</v>
      </c>
      <c r="P240">
        <f>_xlfn.XLOOKUP(S240, AnglePowerMatching!$H:$H, AnglePowerMatching!$D:$D, "NaN")</f>
        <v>5</v>
      </c>
      <c r="Q240" t="b">
        <f t="shared" si="7"/>
        <v>1</v>
      </c>
      <c r="R240">
        <f>VALUE(_xlfn.TEXTBEFORE(A240, {"L","R"}, , , , A240))</f>
        <v>995</v>
      </c>
      <c r="S240" t="str">
        <f t="shared" si="6"/>
        <v>99520260115</v>
      </c>
    </row>
    <row r="241" spans="1:19" x14ac:dyDescent="0.3">
      <c r="A241" t="s">
        <v>3</v>
      </c>
      <c r="B241" t="s">
        <v>8</v>
      </c>
      <c r="C241">
        <v>59.482758620689658</v>
      </c>
      <c r="D241">
        <v>55.963302752293572</v>
      </c>
      <c r="E241">
        <v>4</v>
      </c>
      <c r="F241">
        <v>11</v>
      </c>
      <c r="G241">
        <v>69</v>
      </c>
      <c r="H241">
        <v>61</v>
      </c>
      <c r="I241">
        <v>120</v>
      </c>
      <c r="J241">
        <v>120</v>
      </c>
      <c r="K241">
        <v>3.3333333333333335</v>
      </c>
      <c r="L241">
        <v>9.1666666666666661</v>
      </c>
      <c r="M241">
        <v>0.31008695652172802</v>
      </c>
      <c r="N241">
        <v>0.25680327868851538</v>
      </c>
      <c r="O241">
        <f>_xlfn.XLOOKUP(S241, AnglePowerMatching!$H:$H, AnglePowerMatching!$C:$C, "NaN")</f>
        <v>35</v>
      </c>
      <c r="P241">
        <f>_xlfn.XLOOKUP(S241, AnglePowerMatching!$H:$H, AnglePowerMatching!$D:$D, "NaN")</f>
        <v>10</v>
      </c>
      <c r="Q241" t="b">
        <f t="shared" si="7"/>
        <v>1</v>
      </c>
      <c r="R241">
        <f>VALUE(_xlfn.TEXTBEFORE(A241, {"L","R"}, , , , A241))</f>
        <v>995</v>
      </c>
      <c r="S241" t="str">
        <f t="shared" si="6"/>
        <v>99520260116</v>
      </c>
    </row>
    <row r="242" spans="1:19" x14ac:dyDescent="0.3">
      <c r="A242" t="s">
        <v>3</v>
      </c>
      <c r="B242" t="s">
        <v>9</v>
      </c>
      <c r="C242">
        <v>62.711864406779661</v>
      </c>
      <c r="D242">
        <v>68.376068376068375</v>
      </c>
      <c r="E242">
        <v>2</v>
      </c>
      <c r="F242">
        <v>3</v>
      </c>
      <c r="G242">
        <v>74</v>
      </c>
      <c r="H242">
        <v>80</v>
      </c>
      <c r="I242">
        <v>120</v>
      </c>
      <c r="J242">
        <v>120</v>
      </c>
      <c r="K242">
        <v>1.6666666666666667</v>
      </c>
      <c r="L242">
        <v>2.5</v>
      </c>
      <c r="M242">
        <v>0.41372972972972943</v>
      </c>
      <c r="N242">
        <v>0.439787499999999</v>
      </c>
      <c r="O242">
        <f>_xlfn.XLOOKUP(S242, AnglePowerMatching!$H:$H, AnglePowerMatching!$C:$C, "NaN")</f>
        <v>35</v>
      </c>
      <c r="P242">
        <f>_xlfn.XLOOKUP(S242, AnglePowerMatching!$H:$H, AnglePowerMatching!$D:$D, "NaN")</f>
        <v>10</v>
      </c>
      <c r="Q242" t="b">
        <f t="shared" si="7"/>
        <v>1</v>
      </c>
      <c r="R242">
        <f>VALUE(_xlfn.TEXTBEFORE(A242, {"L","R"}, , , , A242))</f>
        <v>995</v>
      </c>
      <c r="S242" t="str">
        <f t="shared" si="6"/>
        <v>99520260117</v>
      </c>
    </row>
    <row r="243" spans="1:19" x14ac:dyDescent="0.3">
      <c r="A243" t="s">
        <v>3</v>
      </c>
      <c r="B243" t="s">
        <v>72</v>
      </c>
      <c r="C243">
        <v>52.777777777777779</v>
      </c>
      <c r="D243">
        <v>49.295774647887328</v>
      </c>
      <c r="E243">
        <v>55</v>
      </c>
      <c r="F243">
        <v>56</v>
      </c>
      <c r="G243">
        <v>38</v>
      </c>
      <c r="H243">
        <v>35</v>
      </c>
      <c r="I243">
        <v>127</v>
      </c>
      <c r="J243">
        <v>127</v>
      </c>
      <c r="K243">
        <v>43.30708661417323</v>
      </c>
      <c r="L243">
        <v>44.094488188976378</v>
      </c>
      <c r="M243">
        <v>0.54257894736841372</v>
      </c>
      <c r="N243">
        <v>0.46339999999999171</v>
      </c>
      <c r="O243">
        <f>_xlfn.XLOOKUP(S243, AnglePowerMatching!$H:$H, AnglePowerMatching!$C:$C, "NaN")</f>
        <v>35</v>
      </c>
      <c r="P243">
        <f>_xlfn.XLOOKUP(S243, AnglePowerMatching!$H:$H, AnglePowerMatching!$D:$D, "NaN")</f>
        <v>3</v>
      </c>
      <c r="Q243" t="b">
        <f t="shared" si="7"/>
        <v>1</v>
      </c>
      <c r="R243">
        <f>VALUE(_xlfn.TEXTBEFORE(A243, {"L","R"}, , , , A243))</f>
        <v>995</v>
      </c>
      <c r="S243" t="str">
        <f t="shared" si="6"/>
        <v>99520260202</v>
      </c>
    </row>
    <row r="244" spans="1:19" x14ac:dyDescent="0.3">
      <c r="A244" t="s">
        <v>3</v>
      </c>
      <c r="B244" t="s">
        <v>73</v>
      </c>
      <c r="C244">
        <v>85.714285714285708</v>
      </c>
      <c r="D244">
        <v>82.022471910112358</v>
      </c>
      <c r="E244">
        <v>36</v>
      </c>
      <c r="F244">
        <v>31</v>
      </c>
      <c r="G244">
        <v>72</v>
      </c>
      <c r="H244">
        <v>73</v>
      </c>
      <c r="I244">
        <v>120</v>
      </c>
      <c r="J244">
        <v>120</v>
      </c>
      <c r="K244">
        <v>30</v>
      </c>
      <c r="L244">
        <v>25.833333333333336</v>
      </c>
      <c r="M244">
        <v>0.88188888888887951</v>
      </c>
      <c r="N244">
        <v>0.90300000000001512</v>
      </c>
      <c r="O244">
        <f>_xlfn.XLOOKUP(S244, AnglePowerMatching!$H:$H, AnglePowerMatching!$C:$C, "NaN")</f>
        <v>35</v>
      </c>
      <c r="P244">
        <f>_xlfn.XLOOKUP(S244, AnglePowerMatching!$H:$H, AnglePowerMatching!$D:$D, "NaN")</f>
        <v>5</v>
      </c>
      <c r="Q244" t="b">
        <f t="shared" si="7"/>
        <v>1</v>
      </c>
      <c r="R244">
        <f>VALUE(_xlfn.TEXTBEFORE(A244, {"L","R"}, , , , A244))</f>
        <v>995</v>
      </c>
      <c r="S244" t="str">
        <f t="shared" si="6"/>
        <v>99520260203</v>
      </c>
    </row>
    <row r="245" spans="1:19" x14ac:dyDescent="0.3">
      <c r="A245" t="s">
        <v>3</v>
      </c>
      <c r="B245" t="s">
        <v>74</v>
      </c>
      <c r="C245">
        <v>88.495575221238937</v>
      </c>
      <c r="D245">
        <v>81.132075471698116</v>
      </c>
      <c r="E245">
        <v>7</v>
      </c>
      <c r="F245">
        <v>14</v>
      </c>
      <c r="G245">
        <v>100</v>
      </c>
      <c r="H245">
        <v>86</v>
      </c>
      <c r="I245">
        <v>120</v>
      </c>
      <c r="J245">
        <v>120</v>
      </c>
      <c r="K245">
        <v>5.833333333333333</v>
      </c>
      <c r="L245">
        <v>11.666666666666666</v>
      </c>
      <c r="M245">
        <v>0.52455999999999325</v>
      </c>
      <c r="N245">
        <v>0.56606976744187598</v>
      </c>
      <c r="O245">
        <f>_xlfn.XLOOKUP(S245, AnglePowerMatching!$H:$H, AnglePowerMatching!$C:$C, "NaN")</f>
        <v>35</v>
      </c>
      <c r="P245">
        <f>_xlfn.XLOOKUP(S245, AnglePowerMatching!$H:$H, AnglePowerMatching!$D:$D, "NaN")</f>
        <v>10</v>
      </c>
      <c r="Q245" t="b">
        <f t="shared" si="7"/>
        <v>1</v>
      </c>
      <c r="R245">
        <f>VALUE(_xlfn.TEXTBEFORE(A245, {"L","R"}, , , , A245))</f>
        <v>995</v>
      </c>
      <c r="S245" t="str">
        <f t="shared" si="6"/>
        <v>99520260204</v>
      </c>
    </row>
    <row r="246" spans="1:19" x14ac:dyDescent="0.3">
      <c r="A246" t="s">
        <v>3</v>
      </c>
      <c r="B246" t="s">
        <v>75</v>
      </c>
      <c r="C246">
        <v>58.333333333333336</v>
      </c>
      <c r="D246">
        <v>55.813953488372093</v>
      </c>
      <c r="E246">
        <v>72</v>
      </c>
      <c r="F246">
        <v>77</v>
      </c>
      <c r="G246">
        <v>28</v>
      </c>
      <c r="H246">
        <v>24</v>
      </c>
      <c r="I246">
        <v>120</v>
      </c>
      <c r="J246">
        <v>120</v>
      </c>
      <c r="K246">
        <v>60</v>
      </c>
      <c r="L246">
        <v>64.166666666666671</v>
      </c>
      <c r="M246">
        <v>0.37521428571428167</v>
      </c>
      <c r="N246">
        <v>0.30537499999999101</v>
      </c>
      <c r="O246">
        <f>_xlfn.XLOOKUP(S246, AnglePowerMatching!$H:$H, AnglePowerMatching!$C:$C, "NaN")</f>
        <v>35</v>
      </c>
      <c r="P246">
        <f>_xlfn.XLOOKUP(S246, AnglePowerMatching!$H:$H, AnglePowerMatching!$D:$D, "NaN")</f>
        <v>10</v>
      </c>
      <c r="Q246" t="b">
        <f t="shared" si="7"/>
        <v>1</v>
      </c>
      <c r="R246">
        <f>VALUE(_xlfn.TEXTBEFORE(A246, {"L","R"}, , , , A246))</f>
        <v>995</v>
      </c>
      <c r="S246" t="str">
        <f t="shared" si="6"/>
        <v>99520260205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ProcessedResults</vt:lpstr>
      <vt:lpstr>AnglePowerMatching</vt:lpstr>
      <vt:lpstr>dupe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Talusan</cp:lastModifiedBy>
  <dcterms:modified xsi:type="dcterms:W3CDTF">2026-04-08T01:30:27Z</dcterms:modified>
</cp:coreProperties>
</file>